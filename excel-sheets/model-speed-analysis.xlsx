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ev\Documents\University\Internships\Excel Sheets\"/>
    </mc:Choice>
  </mc:AlternateContent>
  <xr:revisionPtr revIDLastSave="0" documentId="13_ncr:1_{BCFB6103-4047-476A-93DC-C7D30F221368}" xr6:coauthVersionLast="47" xr6:coauthVersionMax="47" xr10:uidLastSave="{00000000-0000-0000-0000-000000000000}"/>
  <bookViews>
    <workbookView xWindow="-110" yWindow="-110" windowWidth="19420" windowHeight="10300" xr2:uid="{D8586ECB-ADBF-497C-A148-8E1A445BD38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3" i="1" l="1" a="1"/>
  <c r="C53" i="1" a="1"/>
  <c r="D53" i="1" a="1"/>
  <c r="E53" i="1" a="1"/>
  <c r="F53" i="1" a="1"/>
  <c r="G53" i="1" a="1"/>
  <c r="H53" i="1" a="1"/>
  <c r="I53" i="1" a="1"/>
  <c r="J53" i="1" a="1"/>
  <c r="K53" i="1" a="1"/>
  <c r="L53" i="1" a="1"/>
  <c r="M53" i="1" a="1"/>
  <c r="N53" i="1" a="1"/>
  <c r="O53" i="1" a="1"/>
  <c r="P53" i="1" a="1"/>
  <c r="Q53" i="1" a="1"/>
  <c r="R53" i="1" a="1"/>
  <c r="S53" i="1" a="1"/>
  <c r="T53" i="1" a="1"/>
  <c r="U53" i="1" a="1"/>
  <c r="V53" i="1" a="1"/>
  <c r="W53" i="1" a="1"/>
  <c r="X53" i="1" a="1"/>
  <c r="Y53" i="1" a="1"/>
  <c r="Z5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<sst xmlns="http://schemas.openxmlformats.org/spreadsheetml/2006/main" count="2" uniqueCount="2">
  <si>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S&amp;P</t>
  </si>
  <si>
    <t>CONVEXITY: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</si>
</sst>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%;\-0%;0%"/>
    <numFmt numFmtId="165" formatCode="0.0%"/>
    <numFmt numFmtId="166" formatCode="_-* #,##0.0_-;\-* #,##0.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03B31"/>
      <name val="Aptos"/>
      <family val="2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0" fontId="2" fillId="0" borderId="0" xfId="0" applyFont="1"/>
    <xf numFmtId="43" fontId="4" fillId="0" borderId="0" xfId="1" applyFont="1" applyAlignment="1">
      <alignment vertical="center"/>
    </xf>
    <xf numFmtId="166" fontId="0" fillId="0" borderId="0" xfId="1" applyNumberFormat="1" applyFont="1"/>
    <xf numFmtId="164" fontId="3" fillId="0" borderId="1" xfId="0" applyNumberFormat="1" applyFont="1" applyBorder="1" applyAlignment="1">
      <alignment horizontal="center"/>
    </xf>
    <xf numFmtId="165" fontId="2" fillId="0" borderId="0" xfId="2" applyNumberFormat="1" applyFont="1"/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Convexity</a:t>
            </a:r>
            <a:r>
              <a:rPr lang="en-GB" sz="2400" baseline="0"/>
              <a:t> of model speed vs S&amp;P</a:t>
            </a:r>
            <a:endParaRPr lang="en-GB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xVal>
            <c:numRef>
              <c:f>Sheet1!$B$52:$Z$52</c:f>
              <c:numCache>
                <c:formatCode>General</c:formatCode>
                <c:ptCount val="25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  <c:pt idx="16">
                  <c:v>220</c:v>
                </c:pt>
                <c:pt idx="17">
                  <c:v>230</c:v>
                </c:pt>
                <c:pt idx="18">
                  <c:v>240</c:v>
                </c:pt>
                <c:pt idx="19">
                  <c:v>250</c:v>
                </c:pt>
                <c:pt idx="20">
                  <c:v>260</c:v>
                </c:pt>
                <c:pt idx="21">
                  <c:v>270</c:v>
                </c:pt>
                <c:pt idx="22">
                  <c:v>280</c:v>
                </c:pt>
                <c:pt idx="23">
                  <c:v>290</c:v>
                </c:pt>
                <c:pt idx="24">
                  <c:v>300</c:v>
                </c:pt>
              </c:numCache>
            </c:numRef>
          </c:xVal>
          <c:yVal>
            <c:numRef>
              <c:f>Sheet1!$B$53:$Z$53</c:f>
              <c:numCache>
                <c:formatCode>_(* #,##0.00_);_(* \(#,##0.00\);_(* "-"??_);_(@_)</c:formatCode>
                <c:ptCount val="25"/>
                <c:pt idx="0">
                  <c:v>1.2971512108942775</c:v>
                </c:pt>
                <c:pt idx="1">
                  <c:v>1.268592423828756</c:v>
                </c:pt>
                <c:pt idx="2">
                  <c:v>1.1207347022829202</c:v>
                </c:pt>
                <c:pt idx="3">
                  <c:v>1.0350556791684218</c:v>
                </c:pt>
                <c:pt idx="4">
                  <c:v>0.91684391559999734</c:v>
                </c:pt>
                <c:pt idx="5">
                  <c:v>0.82700934797636017</c:v>
                </c:pt>
                <c:pt idx="6">
                  <c:v>1.1847358102727725</c:v>
                </c:pt>
                <c:pt idx="7">
                  <c:v>1.2450012751247559</c:v>
                </c:pt>
                <c:pt idx="8">
                  <c:v>0.85112774937494162</c:v>
                </c:pt>
                <c:pt idx="9">
                  <c:v>0.87265294262226711</c:v>
                </c:pt>
                <c:pt idx="10">
                  <c:v>0.95941027496277187</c:v>
                </c:pt>
                <c:pt idx="11">
                  <c:v>0.94189903403755781</c:v>
                </c:pt>
                <c:pt idx="12">
                  <c:v>1.1582542825503672</c:v>
                </c:pt>
                <c:pt idx="13">
                  <c:v>1.1694092287280549</c:v>
                </c:pt>
                <c:pt idx="14">
                  <c:v>1.2549480868516336</c:v>
                </c:pt>
                <c:pt idx="15">
                  <c:v>1.1245804014645966</c:v>
                </c:pt>
                <c:pt idx="16">
                  <c:v>1.0561925559608298</c:v>
                </c:pt>
                <c:pt idx="17">
                  <c:v>1.0766109117764595</c:v>
                </c:pt>
                <c:pt idx="18">
                  <c:v>1.0961502262793761</c:v>
                </c:pt>
                <c:pt idx="19">
                  <c:v>1.0078810301268781</c:v>
                </c:pt>
                <c:pt idx="20">
                  <c:v>0.90270987705164718</c:v>
                </c:pt>
                <c:pt idx="21">
                  <c:v>0.8176958555451026</c:v>
                </c:pt>
                <c:pt idx="22">
                  <c:v>0.68439538559363811</c:v>
                </c:pt>
                <c:pt idx="23">
                  <c:v>0.70478818770149576</c:v>
                </c:pt>
                <c:pt idx="24">
                  <c:v>0.67185428214846254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BF-4EDF-A61D-266A1B5A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625480"/>
        <c:axId val="1890623320"/>
      </c:scatterChart>
      <c:valAx>
        <c:axId val="1890625480"/>
        <c:scaling>
          <c:orientation val="minMax"/>
          <c:max val="30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23320"/>
        <c:crosses val="autoZero"/>
        <c:crossBetween val="midCat"/>
        <c:majorUnit val="10"/>
      </c:valAx>
      <c:valAx>
        <c:axId val="1890623320"/>
        <c:scaling>
          <c:orientation val="minMax"/>
          <c:max val="1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2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Model-speed  vs short-term (60 Day)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94161379099453E-2"/>
          <c:y val="0.10566013477705968"/>
          <c:w val="0.87345028094182398"/>
          <c:h val="0.7803279742361953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Sheet1!$D$52</c:f>
              <c:strCache>
                <c:ptCount val="1"/>
                <c:pt idx="0">
                  <c:v>80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8900">
                <a:solidFill>
                  <a:schemeClr val="accent1"/>
                </a:solidFill>
              </a:ln>
              <a:effectLst/>
            </c:spPr>
          </c:marker>
          <c:xVal>
            <c:numRef>
              <c:f>Sheet1!$D$26:$D$51</c:f>
              <c:numCache>
                <c:formatCode>0%;\-0%;0%</c:formatCode>
                <c:ptCount val="26"/>
                <c:pt idx="0">
                  <c:v>0.02</c:v>
                </c:pt>
                <c:pt idx="1">
                  <c:v>7.0000000000000007E-2</c:v>
                </c:pt>
                <c:pt idx="2">
                  <c:v>0.25</c:v>
                </c:pt>
                <c:pt idx="3">
                  <c:v>0.16</c:v>
                </c:pt>
                <c:pt idx="4">
                  <c:v>7.0000000000000007E-2</c:v>
                </c:pt>
                <c:pt idx="5">
                  <c:v>-0.12</c:v>
                </c:pt>
                <c:pt idx="6">
                  <c:v>0.02</c:v>
                </c:pt>
                <c:pt idx="7">
                  <c:v>-7.0000000000000007E-2</c:v>
                </c:pt>
                <c:pt idx="8">
                  <c:v>0.3</c:v>
                </c:pt>
                <c:pt idx="9">
                  <c:v>0.02</c:v>
                </c:pt>
                <c:pt idx="10">
                  <c:v>-0.02</c:v>
                </c:pt>
                <c:pt idx="11">
                  <c:v>-0.02</c:v>
                </c:pt>
                <c:pt idx="12">
                  <c:v>-0.02</c:v>
                </c:pt>
                <c:pt idx="13">
                  <c:v>-0.12</c:v>
                </c:pt>
                <c:pt idx="14">
                  <c:v>0.11</c:v>
                </c:pt>
                <c:pt idx="15">
                  <c:v>-0.12</c:v>
                </c:pt>
                <c:pt idx="16">
                  <c:v>0.02</c:v>
                </c:pt>
                <c:pt idx="17">
                  <c:v>-0.12</c:v>
                </c:pt>
                <c:pt idx="18">
                  <c:v>-0.02</c:v>
                </c:pt>
                <c:pt idx="19">
                  <c:v>-7.0000000000000007E-2</c:v>
                </c:pt>
                <c:pt idx="20">
                  <c:v>0.12</c:v>
                </c:pt>
                <c:pt idx="21">
                  <c:v>0.02</c:v>
                </c:pt>
                <c:pt idx="22">
                  <c:v>0.02</c:v>
                </c:pt>
                <c:pt idx="23">
                  <c:v>-0.16</c:v>
                </c:pt>
                <c:pt idx="24">
                  <c:v>-7.0000000000000007E-2</c:v>
                </c:pt>
                <c:pt idx="25">
                  <c:v>-7.0000000000000007E-2</c:v>
                </c:pt>
              </c:numCache>
            </c:numRef>
          </c:xVal>
          <c:yVal>
            <c:numRef>
              <c:f>Sheet1!$B$26:$B$51</c:f>
              <c:numCache>
                <c:formatCode>0%;\-0%;0%</c:formatCode>
                <c:ptCount val="26"/>
                <c:pt idx="0">
                  <c:v>-0.02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0.16</c:v>
                </c:pt>
                <c:pt idx="4">
                  <c:v>0.02</c:v>
                </c:pt>
                <c:pt idx="5">
                  <c:v>-0.12</c:v>
                </c:pt>
                <c:pt idx="6">
                  <c:v>-7.0000000000000007E-2</c:v>
                </c:pt>
                <c:pt idx="7">
                  <c:v>-0.12</c:v>
                </c:pt>
                <c:pt idx="8">
                  <c:v>0.3</c:v>
                </c:pt>
                <c:pt idx="9">
                  <c:v>-7.0000000000000007E-2</c:v>
                </c:pt>
                <c:pt idx="10">
                  <c:v>-0.02</c:v>
                </c:pt>
                <c:pt idx="11">
                  <c:v>-7.0000000000000007E-2</c:v>
                </c:pt>
                <c:pt idx="12">
                  <c:v>-0.02</c:v>
                </c:pt>
                <c:pt idx="13">
                  <c:v>-0.12</c:v>
                </c:pt>
                <c:pt idx="14">
                  <c:v>0.02</c:v>
                </c:pt>
                <c:pt idx="15">
                  <c:v>-0.21</c:v>
                </c:pt>
                <c:pt idx="16">
                  <c:v>7.0000000000000007E-2</c:v>
                </c:pt>
                <c:pt idx="17">
                  <c:v>-7.0000000000000007E-2</c:v>
                </c:pt>
                <c:pt idx="18">
                  <c:v>7.0000000000000007E-2</c:v>
                </c:pt>
                <c:pt idx="19">
                  <c:v>-7.0000000000000007E-2</c:v>
                </c:pt>
                <c:pt idx="20">
                  <c:v>0.3</c:v>
                </c:pt>
                <c:pt idx="21">
                  <c:v>0.02</c:v>
                </c:pt>
                <c:pt idx="22">
                  <c:v>-7.0000000000000007E-2</c:v>
                </c:pt>
                <c:pt idx="23">
                  <c:v>-0.16</c:v>
                </c:pt>
                <c:pt idx="24">
                  <c:v>-7.0000000000000007E-2</c:v>
                </c:pt>
                <c:pt idx="25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AB-4394-942A-BB3890BC3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433096"/>
        <c:axId val="363431688"/>
      </c:scatterChart>
      <c:valAx>
        <c:axId val="363433096"/>
        <c:scaling>
          <c:orientation val="minMax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60-day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1688"/>
        <c:crosses val="autoZero"/>
        <c:crossBetween val="midCat"/>
      </c:valAx>
      <c:valAx>
        <c:axId val="363431688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3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6198892159111154E-2"/>
          <c:y val="1.8614160685111497E-3"/>
          <c:w val="0.19575903664347777"/>
          <c:h val="0.115991056673471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Model-speed  vs short-term (60 Day)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94161379099453E-2"/>
          <c:y val="0.10566013477705968"/>
          <c:w val="0.87345028094182398"/>
          <c:h val="0.7803279742361953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Sheet1!$K$52</c:f>
              <c:strCache>
                <c:ptCount val="1"/>
                <c:pt idx="0">
                  <c:v>150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8900">
                <a:solidFill>
                  <a:srgbClr val="00B050"/>
                </a:solidFill>
              </a:ln>
              <a:effectLst/>
            </c:spPr>
          </c:marker>
          <c:xVal>
            <c:numRef>
              <c:f>Sheet1!$K$26:$K$51</c:f>
              <c:numCache>
                <c:formatCode>0%;\-0%;0%</c:formatCode>
                <c:ptCount val="26"/>
                <c:pt idx="0">
                  <c:v>0.16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0.21</c:v>
                </c:pt>
                <c:pt idx="4">
                  <c:v>0.02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0.3</c:v>
                </c:pt>
                <c:pt idx="9">
                  <c:v>7.0000000000000007E-2</c:v>
                </c:pt>
                <c:pt idx="10">
                  <c:v>0.11</c:v>
                </c:pt>
                <c:pt idx="11">
                  <c:v>-0.02</c:v>
                </c:pt>
                <c:pt idx="12">
                  <c:v>-0.12</c:v>
                </c:pt>
                <c:pt idx="13">
                  <c:v>-7.0000000000000007E-2</c:v>
                </c:pt>
                <c:pt idx="14">
                  <c:v>0.25</c:v>
                </c:pt>
                <c:pt idx="15">
                  <c:v>-0.02</c:v>
                </c:pt>
                <c:pt idx="16">
                  <c:v>0.16</c:v>
                </c:pt>
                <c:pt idx="17">
                  <c:v>-7.0000000000000007E-2</c:v>
                </c:pt>
                <c:pt idx="18">
                  <c:v>-0.02</c:v>
                </c:pt>
                <c:pt idx="19">
                  <c:v>-7.0000000000000007E-2</c:v>
                </c:pt>
                <c:pt idx="20">
                  <c:v>-0.02</c:v>
                </c:pt>
                <c:pt idx="21">
                  <c:v>0.16</c:v>
                </c:pt>
                <c:pt idx="22">
                  <c:v>0.3</c:v>
                </c:pt>
                <c:pt idx="23">
                  <c:v>-0.12</c:v>
                </c:pt>
                <c:pt idx="24">
                  <c:v>-0.02</c:v>
                </c:pt>
                <c:pt idx="25">
                  <c:v>-0.12</c:v>
                </c:pt>
              </c:numCache>
            </c:numRef>
          </c:xVal>
          <c:yVal>
            <c:numRef>
              <c:f>Sheet1!$B$26:$B$51</c:f>
              <c:numCache>
                <c:formatCode>0%;\-0%;0%</c:formatCode>
                <c:ptCount val="26"/>
                <c:pt idx="0">
                  <c:v>-0.02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0.16</c:v>
                </c:pt>
                <c:pt idx="4">
                  <c:v>0.02</c:v>
                </c:pt>
                <c:pt idx="5">
                  <c:v>-0.12</c:v>
                </c:pt>
                <c:pt idx="6">
                  <c:v>-7.0000000000000007E-2</c:v>
                </c:pt>
                <c:pt idx="7">
                  <c:v>-0.12</c:v>
                </c:pt>
                <c:pt idx="8">
                  <c:v>0.3</c:v>
                </c:pt>
                <c:pt idx="9">
                  <c:v>-7.0000000000000007E-2</c:v>
                </c:pt>
                <c:pt idx="10">
                  <c:v>-0.02</c:v>
                </c:pt>
                <c:pt idx="11">
                  <c:v>-7.0000000000000007E-2</c:v>
                </c:pt>
                <c:pt idx="12">
                  <c:v>-0.02</c:v>
                </c:pt>
                <c:pt idx="13">
                  <c:v>-0.12</c:v>
                </c:pt>
                <c:pt idx="14">
                  <c:v>0.02</c:v>
                </c:pt>
                <c:pt idx="15">
                  <c:v>-0.21</c:v>
                </c:pt>
                <c:pt idx="16">
                  <c:v>7.0000000000000007E-2</c:v>
                </c:pt>
                <c:pt idx="17">
                  <c:v>-7.0000000000000007E-2</c:v>
                </c:pt>
                <c:pt idx="18">
                  <c:v>7.0000000000000007E-2</c:v>
                </c:pt>
                <c:pt idx="19">
                  <c:v>-7.0000000000000007E-2</c:v>
                </c:pt>
                <c:pt idx="20">
                  <c:v>0.3</c:v>
                </c:pt>
                <c:pt idx="21">
                  <c:v>0.02</c:v>
                </c:pt>
                <c:pt idx="22">
                  <c:v>-7.0000000000000007E-2</c:v>
                </c:pt>
                <c:pt idx="23">
                  <c:v>-0.16</c:v>
                </c:pt>
                <c:pt idx="24">
                  <c:v>-7.0000000000000007E-2</c:v>
                </c:pt>
                <c:pt idx="25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D-4E9A-B6C2-6BDCFA789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433096"/>
        <c:axId val="363431688"/>
      </c:scatterChart>
      <c:valAx>
        <c:axId val="363433096"/>
        <c:scaling>
          <c:orientation val="minMax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60-day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1688"/>
        <c:crosses val="autoZero"/>
        <c:crossBetween val="midCat"/>
      </c:valAx>
      <c:valAx>
        <c:axId val="363431688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3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0017662385648383E-2"/>
          <c:y val="1.8614160685111493E-3"/>
          <c:w val="0.24632537968554899"/>
          <c:h val="0.121964772324606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Model-speed  vs short-term (60 Day)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94161379099453E-2"/>
          <c:y val="0.10566013477705968"/>
          <c:w val="0.87345028094182398"/>
          <c:h val="0.7803279742361953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Sheet1!$U$52</c:f>
              <c:strCache>
                <c:ptCount val="1"/>
                <c:pt idx="0">
                  <c:v>250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8900">
                <a:solidFill>
                  <a:srgbClr val="FF0000"/>
                </a:solidFill>
              </a:ln>
              <a:effectLst/>
            </c:spPr>
          </c:marker>
          <c:xVal>
            <c:numRef>
              <c:f>Sheet1!$U$26:$U$51</c:f>
              <c:numCache>
                <c:formatCode>0%;\-0%;0%</c:formatCode>
                <c:ptCount val="26"/>
                <c:pt idx="0">
                  <c:v>0.02</c:v>
                </c:pt>
                <c:pt idx="1">
                  <c:v>0.21</c:v>
                </c:pt>
                <c:pt idx="2">
                  <c:v>0.3</c:v>
                </c:pt>
                <c:pt idx="3">
                  <c:v>0.21</c:v>
                </c:pt>
                <c:pt idx="4">
                  <c:v>0.02</c:v>
                </c:pt>
                <c:pt idx="5">
                  <c:v>7.0000000000000007E-2</c:v>
                </c:pt>
                <c:pt idx="6">
                  <c:v>0.11</c:v>
                </c:pt>
                <c:pt idx="7">
                  <c:v>0.02</c:v>
                </c:pt>
                <c:pt idx="8">
                  <c:v>0.3</c:v>
                </c:pt>
                <c:pt idx="9">
                  <c:v>0.02</c:v>
                </c:pt>
                <c:pt idx="10">
                  <c:v>0.16</c:v>
                </c:pt>
                <c:pt idx="11">
                  <c:v>0.02</c:v>
                </c:pt>
                <c:pt idx="12">
                  <c:v>-0.12</c:v>
                </c:pt>
                <c:pt idx="13">
                  <c:v>-0.02</c:v>
                </c:pt>
                <c:pt idx="14">
                  <c:v>0.25</c:v>
                </c:pt>
                <c:pt idx="15">
                  <c:v>0.11</c:v>
                </c:pt>
                <c:pt idx="16">
                  <c:v>-0.02</c:v>
                </c:pt>
                <c:pt idx="17">
                  <c:v>-0.02</c:v>
                </c:pt>
                <c:pt idx="18">
                  <c:v>0.02</c:v>
                </c:pt>
                <c:pt idx="19">
                  <c:v>-7.0000000000000007E-2</c:v>
                </c:pt>
                <c:pt idx="20">
                  <c:v>-7.0000000000000007E-2</c:v>
                </c:pt>
                <c:pt idx="21">
                  <c:v>0.21</c:v>
                </c:pt>
                <c:pt idx="22">
                  <c:v>0.3</c:v>
                </c:pt>
                <c:pt idx="23">
                  <c:v>-0.16</c:v>
                </c:pt>
                <c:pt idx="24">
                  <c:v>0.3</c:v>
                </c:pt>
                <c:pt idx="25">
                  <c:v>-7.0000000000000007E-2</c:v>
                </c:pt>
              </c:numCache>
            </c:numRef>
          </c:xVal>
          <c:yVal>
            <c:numRef>
              <c:f>Sheet1!$B$26:$B$51</c:f>
              <c:numCache>
                <c:formatCode>0%;\-0%;0%</c:formatCode>
                <c:ptCount val="26"/>
                <c:pt idx="0">
                  <c:v>-0.02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0.16</c:v>
                </c:pt>
                <c:pt idx="4">
                  <c:v>0.02</c:v>
                </c:pt>
                <c:pt idx="5">
                  <c:v>-0.12</c:v>
                </c:pt>
                <c:pt idx="6">
                  <c:v>-7.0000000000000007E-2</c:v>
                </c:pt>
                <c:pt idx="7">
                  <c:v>-0.12</c:v>
                </c:pt>
                <c:pt idx="8">
                  <c:v>0.3</c:v>
                </c:pt>
                <c:pt idx="9">
                  <c:v>-7.0000000000000007E-2</c:v>
                </c:pt>
                <c:pt idx="10">
                  <c:v>-0.02</c:v>
                </c:pt>
                <c:pt idx="11">
                  <c:v>-7.0000000000000007E-2</c:v>
                </c:pt>
                <c:pt idx="12">
                  <c:v>-0.02</c:v>
                </c:pt>
                <c:pt idx="13">
                  <c:v>-0.12</c:v>
                </c:pt>
                <c:pt idx="14">
                  <c:v>0.02</c:v>
                </c:pt>
                <c:pt idx="15">
                  <c:v>-0.21</c:v>
                </c:pt>
                <c:pt idx="16">
                  <c:v>7.0000000000000007E-2</c:v>
                </c:pt>
                <c:pt idx="17">
                  <c:v>-7.0000000000000007E-2</c:v>
                </c:pt>
                <c:pt idx="18">
                  <c:v>7.0000000000000007E-2</c:v>
                </c:pt>
                <c:pt idx="19">
                  <c:v>-7.0000000000000007E-2</c:v>
                </c:pt>
                <c:pt idx="20">
                  <c:v>0.3</c:v>
                </c:pt>
                <c:pt idx="21">
                  <c:v>0.02</c:v>
                </c:pt>
                <c:pt idx="22">
                  <c:v>-7.0000000000000007E-2</c:v>
                </c:pt>
                <c:pt idx="23">
                  <c:v>-0.16</c:v>
                </c:pt>
                <c:pt idx="24">
                  <c:v>-7.0000000000000007E-2</c:v>
                </c:pt>
                <c:pt idx="25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5-4E7B-8173-C15FEC69C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433096"/>
        <c:axId val="363431688"/>
      </c:scatterChart>
      <c:valAx>
        <c:axId val="363433096"/>
        <c:scaling>
          <c:orientation val="minMax"/>
          <c:min val="-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60-day 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1688"/>
        <c:crosses val="autoZero"/>
        <c:crossBetween val="midCat"/>
      </c:valAx>
      <c:valAx>
        <c:axId val="363431688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3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3164911576586897E-2"/>
          <c:y val="1.8614160685111428E-3"/>
          <c:w val="0.19677036350431923"/>
          <c:h val="0.12395601087498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/>
              <a:t>Convexity of Model vs S&amp;P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94161379099453E-2"/>
          <c:y val="0.10566013477705968"/>
          <c:w val="0.87345028094182398"/>
          <c:h val="0.7803279742361953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Sheet1!$D$52</c:f>
              <c:strCache>
                <c:ptCount val="1"/>
                <c:pt idx="0">
                  <c:v>80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88900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3.0026294498381876E-2"/>
                  <c:y val="-0.40990962599209146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Sheet1!$AC$26:$AC$51</c:f>
              <c:numCache>
                <c:formatCode>0.0%</c:formatCode>
                <c:ptCount val="26"/>
                <c:pt idx="0">
                  <c:v>-9.4236833362991407E-2</c:v>
                </c:pt>
                <c:pt idx="1">
                  <c:v>-0.122336836711624</c:v>
                </c:pt>
                <c:pt idx="2">
                  <c:v>-0.22482669258441601</c:v>
                </c:pt>
                <c:pt idx="3">
                  <c:v>0.27988847986388998</c:v>
                </c:pt>
                <c:pt idx="4">
                  <c:v>0.102118506549777</c:v>
                </c:pt>
                <c:pt idx="5">
                  <c:v>4.3330772348333296E-2</c:v>
                </c:pt>
                <c:pt idx="6">
                  <c:v>0.15137459460870098</c:v>
                </c:pt>
                <c:pt idx="7">
                  <c:v>4.9006977157277899E-2</c:v>
                </c:pt>
                <c:pt idx="8">
                  <c:v>-0.374477563731965</c:v>
                </c:pt>
                <c:pt idx="9">
                  <c:v>0.255537430734044</c:v>
                </c:pt>
                <c:pt idx="10">
                  <c:v>0.14374227529193098</c:v>
                </c:pt>
                <c:pt idx="11">
                  <c:v>1.4728988744168101E-2</c:v>
                </c:pt>
                <c:pt idx="12">
                  <c:v>0.152178461324528</c:v>
                </c:pt>
                <c:pt idx="13">
                  <c:v>0.315458724866296</c:v>
                </c:pt>
                <c:pt idx="14">
                  <c:v>0.129943786696019</c:v>
                </c:pt>
                <c:pt idx="15">
                  <c:v>7.4599293776927101E-3</c:v>
                </c:pt>
                <c:pt idx="16">
                  <c:v>0.11226919785412801</c:v>
                </c:pt>
                <c:pt idx="17">
                  <c:v>0.21103123769372498</c:v>
                </c:pt>
                <c:pt idx="18">
                  <c:v>-4.9440370029709503E-2</c:v>
                </c:pt>
                <c:pt idx="19">
                  <c:v>0.30698538016004701</c:v>
                </c:pt>
                <c:pt idx="20">
                  <c:v>0.177527454836369</c:v>
                </c:pt>
                <c:pt idx="21">
                  <c:v>0.28158941936252302</c:v>
                </c:pt>
                <c:pt idx="22">
                  <c:v>-0.18512766809571599</c:v>
                </c:pt>
                <c:pt idx="23">
                  <c:v>0.25666995284540201</c:v>
                </c:pt>
                <c:pt idx="24">
                  <c:v>0.245040397095274</c:v>
                </c:pt>
                <c:pt idx="25">
                  <c:v>0.17430393619231702</c:v>
                </c:pt>
              </c:numCache>
            </c:numRef>
          </c:xVal>
          <c:yVal>
            <c:numRef>
              <c:f>Sheet1!$B$26:$B$51</c:f>
              <c:numCache>
                <c:formatCode>0%;\-0%;0%</c:formatCode>
                <c:ptCount val="26"/>
                <c:pt idx="0">
                  <c:v>-0.02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0.16</c:v>
                </c:pt>
                <c:pt idx="4">
                  <c:v>0.02</c:v>
                </c:pt>
                <c:pt idx="5">
                  <c:v>-0.12</c:v>
                </c:pt>
                <c:pt idx="6">
                  <c:v>-7.0000000000000007E-2</c:v>
                </c:pt>
                <c:pt idx="7">
                  <c:v>-0.12</c:v>
                </c:pt>
                <c:pt idx="8">
                  <c:v>0.3</c:v>
                </c:pt>
                <c:pt idx="9">
                  <c:v>-7.0000000000000007E-2</c:v>
                </c:pt>
                <c:pt idx="10">
                  <c:v>-0.02</c:v>
                </c:pt>
                <c:pt idx="11">
                  <c:v>-7.0000000000000007E-2</c:v>
                </c:pt>
                <c:pt idx="12">
                  <c:v>-0.02</c:v>
                </c:pt>
                <c:pt idx="13">
                  <c:v>-0.12</c:v>
                </c:pt>
                <c:pt idx="14">
                  <c:v>0.02</c:v>
                </c:pt>
                <c:pt idx="15">
                  <c:v>-0.21</c:v>
                </c:pt>
                <c:pt idx="16">
                  <c:v>7.0000000000000007E-2</c:v>
                </c:pt>
                <c:pt idx="17">
                  <c:v>-7.0000000000000007E-2</c:v>
                </c:pt>
                <c:pt idx="18">
                  <c:v>7.0000000000000007E-2</c:v>
                </c:pt>
                <c:pt idx="19">
                  <c:v>-7.0000000000000007E-2</c:v>
                </c:pt>
                <c:pt idx="20">
                  <c:v>0.3</c:v>
                </c:pt>
                <c:pt idx="21">
                  <c:v>0.02</c:v>
                </c:pt>
                <c:pt idx="22">
                  <c:v>-7.0000000000000007E-2</c:v>
                </c:pt>
                <c:pt idx="23">
                  <c:v>-0.16</c:v>
                </c:pt>
                <c:pt idx="24">
                  <c:v>-7.0000000000000007E-2</c:v>
                </c:pt>
                <c:pt idx="25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6-4F1B-A2A3-3B0311965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433096"/>
        <c:axId val="363431688"/>
      </c:scatterChart>
      <c:valAx>
        <c:axId val="363433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S&amp;P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1688"/>
        <c:crosses val="autoZero"/>
        <c:crossBetween val="midCat"/>
      </c:valAx>
      <c:valAx>
        <c:axId val="36343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2000"/>
                  <a:t>Trend 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;\-0%;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33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510540</xdr:colOff>
      <xdr:row>1</xdr:row>
      <xdr:rowOff>32970</xdr:rowOff>
    </xdr:from>
    <xdr:to>
      <xdr:col>31</xdr:col>
      <xdr:colOff>109913</xdr:colOff>
      <xdr:row>22</xdr:row>
      <xdr:rowOff>123306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EE3D9-3F59-4C36-9758-4529C010E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4249" y="213079"/>
          <a:ext cx="9436100" cy="3872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280247</xdr:colOff>
      <xdr:row>57</xdr:row>
      <xdr:rowOff>4020</xdr:rowOff>
    </xdr:from>
    <xdr:to>
      <xdr:col>49</xdr:col>
      <xdr:colOff>198120</xdr:colOff>
      <xdr:row>92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5D9143-CDE8-481B-84E6-FB486C3D36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441960</xdr:colOff>
      <xdr:row>54</xdr:row>
      <xdr:rowOff>99060</xdr:rowOff>
    </xdr:from>
    <xdr:to>
      <xdr:col>22</xdr:col>
      <xdr:colOff>45720</xdr:colOff>
      <xdr:row>89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877874-29DF-47FE-A148-F0D4FC1D4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228600</xdr:colOff>
      <xdr:row>58</xdr:row>
      <xdr:rowOff>45720</xdr:rowOff>
    </xdr:from>
    <xdr:to>
      <xdr:col>21</xdr:col>
      <xdr:colOff>228600</xdr:colOff>
      <xdr:row>85</xdr:row>
      <xdr:rowOff>91440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738D4B7-D809-DD78-2EAC-7C3B8FA1423E}"/>
            </a:ext>
          </a:extLst>
        </xdr:cNvPr>
        <xdr:cNvCxnSpPr/>
      </xdr:nvCxnSpPr>
      <xdr:spPr>
        <a:xfrm flipV="1">
          <a:off x="2209800" y="10652760"/>
          <a:ext cx="10972800" cy="498348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91</xdr:row>
      <xdr:rowOff>0</xdr:rowOff>
    </xdr:from>
    <xdr:to>
      <xdr:col>21</xdr:col>
      <xdr:colOff>213360</xdr:colOff>
      <xdr:row>125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A738BA2-24C6-45F0-8E7F-8A35A015F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396240</xdr:colOff>
      <xdr:row>94</xdr:row>
      <xdr:rowOff>129540</xdr:rowOff>
    </xdr:from>
    <xdr:to>
      <xdr:col>20</xdr:col>
      <xdr:colOff>396240</xdr:colOff>
      <xdr:row>121</xdr:row>
      <xdr:rowOff>175260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E967678-5D72-463F-8064-6DC907E4AE97}"/>
            </a:ext>
          </a:extLst>
        </xdr:cNvPr>
        <xdr:cNvCxnSpPr/>
      </xdr:nvCxnSpPr>
      <xdr:spPr>
        <a:xfrm flipV="1">
          <a:off x="1767840" y="17320260"/>
          <a:ext cx="10972800" cy="498348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127</xdr:row>
      <xdr:rowOff>0</xdr:rowOff>
    </xdr:from>
    <xdr:to>
      <xdr:col>21</xdr:col>
      <xdr:colOff>213360</xdr:colOff>
      <xdr:row>161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461F466-DC18-4144-A4A1-DA2E1D6CE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396240</xdr:colOff>
      <xdr:row>130</xdr:row>
      <xdr:rowOff>129540</xdr:rowOff>
    </xdr:from>
    <xdr:to>
      <xdr:col>20</xdr:col>
      <xdr:colOff>396240</xdr:colOff>
      <xdr:row>157</xdr:row>
      <xdr:rowOff>175260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40BC8B1-9DE0-41A8-B5F9-35AB4181259A}"/>
            </a:ext>
          </a:extLst>
        </xdr:cNvPr>
        <xdr:cNvCxnSpPr/>
      </xdr:nvCxnSpPr>
      <xdr:spPr>
        <a:xfrm flipV="1">
          <a:off x="1767840" y="23903940"/>
          <a:ext cx="10972800" cy="4983480"/>
        </a:xfrm>
        <a:prstGeom prst="line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0</xdr:colOff>
      <xdr:row>21</xdr:row>
      <xdr:rowOff>0</xdr:rowOff>
    </xdr:from>
    <xdr:to>
      <xdr:col>51</xdr:col>
      <xdr:colOff>365760</xdr:colOff>
      <xdr:row>55</xdr:row>
      <xdr:rowOff>160020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9874B00-3E4B-493C-97E7-BBD6BBCDC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1233055</xdr:colOff>
      <xdr:row>2</xdr:row>
      <xdr:rowOff>152400</xdr:rowOff>
    </xdr:from>
    <xdr:to>
      <xdr:col>9</xdr:col>
      <xdr:colOff>521168</xdr:colOff>
      <xdr:row>23</xdr:row>
      <xdr:rowOff>174644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6BCE61-ED07-3EEA-EF75-2C602B569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3055" y="512618"/>
          <a:ext cx="5564222" cy="3804535"/>
        </a:xfrm>
        <a:prstGeom prst="rect">
          <a:avLst/>
        </a:prstGeom>
      </xdr:spPr>
    </xdr:pic>
    <xdr:clientData/>
  </xdr:twoCellAnchor>
  <xdr:twoCellAnchor>
    <xdr:from>
      <xdr:col>10</xdr:col>
      <xdr:colOff>193964</xdr:colOff>
      <xdr:row>3</xdr:row>
      <xdr:rowOff>27709</xdr:rowOff>
    </xdr:from>
    <xdr:to>
      <xdr:col>14</xdr:col>
      <xdr:colOff>277091</xdr:colOff>
      <xdr:row>13</xdr:row>
      <xdr:rowOff>138546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851005-521A-BAFD-6B4E-BD161841A4A0}"/>
            </a:ext>
          </a:extLst>
        </xdr:cNvPr>
        <xdr:cNvSpPr txBox="1"/>
      </xdr:nvSpPr>
      <xdr:spPr>
        <a:xfrm>
          <a:off x="7079673" y="568036"/>
          <a:ext cx="2521527" cy="19119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Heatmap from:</a:t>
          </a:r>
        </a:p>
        <a:p>
          <a:r>
            <a:rPr lang="en-GB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Trend-Following Primer</a:t>
          </a:r>
        </a:p>
        <a:p>
          <a:r>
            <a:rPr lang="en-GB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Graham Capital Management</a:t>
          </a:r>
        </a:p>
        <a:p>
          <a:r>
            <a:rPr lang="en-GB" sz="1100"/>
            <a:t>https://www.grahamcapital.com/blog/trend-following-primer/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7282-1F64-4C70-9BC5-56F595B60273}">
  <dimension ref="A25:AC112"/>
  <sheetViews>
    <sheetView tabSelected="1" zoomScale="55" zoomScaleNormal="55" workbookViewId="0">
      <selection activeCell="L19" sqref="L19"/>
    </sheetView>
  </sheetViews>
  <sheetFormatPr defaultRowHeight="14.5" x14ac:dyDescent="0.35"/>
  <cols>
    <col min="1" max="1" width="18.1796875" customWidth="1"/>
    <col min="2" max="2" width="11.08984375" customWidth="1"/>
    <col min="29" max="29" width="10.08984375" customWidth="1"/>
  </cols>
  <sheetData>
    <row r="25" spans="1:29" ht="15" thickBot="1" x14ac:dyDescent="0.4">
      <c r="AC25" s="2" t="s">
        <v>0</v>
      </c>
    </row>
    <row r="26" spans="1:29" x14ac:dyDescent="0.35">
      <c r="A26" s="1"/>
      <c r="B26" s="7">
        <v>-0.02</v>
      </c>
      <c r="C26" s="8">
        <v>-0.02</v>
      </c>
      <c r="D26" s="8">
        <v>0.02</v>
      </c>
      <c r="E26" s="8">
        <v>-0.02</v>
      </c>
      <c r="F26" s="8">
        <v>7.0000000000000007E-2</v>
      </c>
      <c r="G26" s="8">
        <v>0.11</v>
      </c>
      <c r="H26" s="8">
        <v>0.12</v>
      </c>
      <c r="I26" s="8">
        <v>0.16</v>
      </c>
      <c r="J26" s="8">
        <v>0.16</v>
      </c>
      <c r="K26" s="8">
        <v>0.16</v>
      </c>
      <c r="L26" s="8">
        <v>0.16</v>
      </c>
      <c r="M26" s="8">
        <v>0.12</v>
      </c>
      <c r="N26" s="8">
        <v>0.11</v>
      </c>
      <c r="O26" s="8">
        <v>0.11</v>
      </c>
      <c r="P26" s="8">
        <v>0.11</v>
      </c>
      <c r="Q26" s="8">
        <v>0.11</v>
      </c>
      <c r="R26" s="8">
        <v>7.0000000000000007E-2</v>
      </c>
      <c r="S26" s="8">
        <v>7.0000000000000007E-2</v>
      </c>
      <c r="T26" s="8">
        <v>0.02</v>
      </c>
      <c r="U26" s="8">
        <v>0.02</v>
      </c>
      <c r="V26" s="8">
        <v>7.0000000000000007E-2</v>
      </c>
      <c r="W26" s="8">
        <v>7.0000000000000007E-2</v>
      </c>
      <c r="X26" s="8">
        <v>7.0000000000000007E-2</v>
      </c>
      <c r="Y26" s="8">
        <v>0.02</v>
      </c>
      <c r="Z26" s="9">
        <v>7.0000000000000007E-2</v>
      </c>
      <c r="AA26" s="2">
        <v>2000</v>
      </c>
      <c r="AC26" s="6">
        <v>-9.4236833362991407E-2</v>
      </c>
    </row>
    <row r="27" spans="1:29" x14ac:dyDescent="0.35">
      <c r="A27" s="1"/>
      <c r="B27" s="10">
        <v>7.0000000000000007E-2</v>
      </c>
      <c r="C27" s="5">
        <v>0.11</v>
      </c>
      <c r="D27" s="5">
        <v>7.0000000000000007E-2</v>
      </c>
      <c r="E27" s="5">
        <v>0.02</v>
      </c>
      <c r="F27" s="5">
        <v>0.02</v>
      </c>
      <c r="G27" s="5">
        <v>7.0000000000000007E-2</v>
      </c>
      <c r="H27" s="5">
        <v>7.0000000000000007E-2</v>
      </c>
      <c r="I27" s="5">
        <v>7.0000000000000007E-2</v>
      </c>
      <c r="J27" s="5">
        <v>7.0000000000000007E-2</v>
      </c>
      <c r="K27" s="5">
        <v>7.0000000000000007E-2</v>
      </c>
      <c r="L27" s="5">
        <v>0.12</v>
      </c>
      <c r="M27" s="5">
        <v>0.12</v>
      </c>
      <c r="N27" s="5">
        <v>0.16</v>
      </c>
      <c r="O27" s="5">
        <v>0.16</v>
      </c>
      <c r="P27" s="5">
        <v>0.16</v>
      </c>
      <c r="Q27" s="5">
        <v>0.12</v>
      </c>
      <c r="R27" s="5">
        <v>0.16</v>
      </c>
      <c r="S27" s="5">
        <v>0.12</v>
      </c>
      <c r="T27" s="5">
        <v>0.16</v>
      </c>
      <c r="U27" s="5">
        <v>0.21</v>
      </c>
      <c r="V27" s="5">
        <v>0.25</v>
      </c>
      <c r="W27" s="5">
        <v>0.25</v>
      </c>
      <c r="X27" s="5">
        <v>0.3</v>
      </c>
      <c r="Y27" s="5">
        <v>0.3</v>
      </c>
      <c r="Z27" s="11">
        <v>0.3</v>
      </c>
      <c r="AA27" s="2">
        <v>2001</v>
      </c>
      <c r="AC27" s="6">
        <v>-0.122336836711624</v>
      </c>
    </row>
    <row r="28" spans="1:29" x14ac:dyDescent="0.35">
      <c r="A28" s="1"/>
      <c r="B28" s="10">
        <v>0.3</v>
      </c>
      <c r="C28" s="5">
        <v>0.3</v>
      </c>
      <c r="D28" s="5">
        <v>0.25</v>
      </c>
      <c r="E28" s="5">
        <v>0.25</v>
      </c>
      <c r="F28" s="5">
        <v>0.3</v>
      </c>
      <c r="G28" s="5">
        <v>0.3</v>
      </c>
      <c r="H28" s="5">
        <v>0.3</v>
      </c>
      <c r="I28" s="5">
        <v>0.3</v>
      </c>
      <c r="J28" s="5">
        <v>0.3</v>
      </c>
      <c r="K28" s="5">
        <v>0.3</v>
      </c>
      <c r="L28" s="5">
        <v>0.3</v>
      </c>
      <c r="M28" s="5">
        <v>0.3</v>
      </c>
      <c r="N28" s="5">
        <v>0.3</v>
      </c>
      <c r="O28" s="5">
        <v>0.3</v>
      </c>
      <c r="P28" s="5">
        <v>0.3</v>
      </c>
      <c r="Q28" s="5">
        <v>0.3</v>
      </c>
      <c r="R28" s="5">
        <v>0.3</v>
      </c>
      <c r="S28" s="5">
        <v>0.3</v>
      </c>
      <c r="T28" s="5">
        <v>0.3</v>
      </c>
      <c r="U28" s="5">
        <v>0.3</v>
      </c>
      <c r="V28" s="5">
        <v>0.3</v>
      </c>
      <c r="W28" s="5">
        <v>0.3</v>
      </c>
      <c r="X28" s="5">
        <v>0.3</v>
      </c>
      <c r="Y28" s="5">
        <v>0.3</v>
      </c>
      <c r="Z28" s="11">
        <v>0.3</v>
      </c>
      <c r="AA28" s="2">
        <v>2002</v>
      </c>
      <c r="AC28" s="6">
        <v>-0.22482669258441601</v>
      </c>
    </row>
    <row r="29" spans="1:29" x14ac:dyDescent="0.35">
      <c r="A29" s="1"/>
      <c r="B29" s="10">
        <v>0.16</v>
      </c>
      <c r="C29" s="5">
        <v>0.16</v>
      </c>
      <c r="D29" s="5">
        <v>0.16</v>
      </c>
      <c r="E29" s="5">
        <v>0.16</v>
      </c>
      <c r="F29" s="5">
        <v>0.16</v>
      </c>
      <c r="G29" s="5">
        <v>0.16</v>
      </c>
      <c r="H29" s="5">
        <v>0.3</v>
      </c>
      <c r="I29" s="5">
        <v>0.21</v>
      </c>
      <c r="J29" s="5">
        <v>0.16</v>
      </c>
      <c r="K29" s="5">
        <v>0.21</v>
      </c>
      <c r="L29" s="5">
        <v>0.21</v>
      </c>
      <c r="M29" s="5">
        <v>0.21</v>
      </c>
      <c r="N29" s="5">
        <v>0.21</v>
      </c>
      <c r="O29" s="5">
        <v>0.21</v>
      </c>
      <c r="P29" s="5">
        <v>0.16</v>
      </c>
      <c r="Q29" s="5">
        <v>0.16</v>
      </c>
      <c r="R29" s="5">
        <v>0.16</v>
      </c>
      <c r="S29" s="5">
        <v>0.3</v>
      </c>
      <c r="T29" s="5">
        <v>0.21</v>
      </c>
      <c r="U29" s="5">
        <v>0.21</v>
      </c>
      <c r="V29" s="5">
        <v>0.21</v>
      </c>
      <c r="W29" s="5">
        <v>0.21</v>
      </c>
      <c r="X29" s="5">
        <v>0.21</v>
      </c>
      <c r="Y29" s="5">
        <v>0.21</v>
      </c>
      <c r="Z29" s="11">
        <v>0.3</v>
      </c>
      <c r="AA29" s="2">
        <v>2003</v>
      </c>
      <c r="AC29" s="6">
        <v>0.27988847986388998</v>
      </c>
    </row>
    <row r="30" spans="1:29" x14ac:dyDescent="0.35">
      <c r="A30" s="1"/>
      <c r="B30" s="10">
        <v>0.02</v>
      </c>
      <c r="C30" s="5">
        <v>0.02</v>
      </c>
      <c r="D30" s="5">
        <v>7.0000000000000007E-2</v>
      </c>
      <c r="E30" s="5">
        <v>7.0000000000000007E-2</v>
      </c>
      <c r="F30" s="5">
        <v>0.02</v>
      </c>
      <c r="G30" s="5">
        <v>0.02</v>
      </c>
      <c r="H30" s="5">
        <v>-0.02</v>
      </c>
      <c r="I30" s="5">
        <v>0.02</v>
      </c>
      <c r="J30" s="5">
        <v>-0.02</v>
      </c>
      <c r="K30" s="5">
        <v>0.02</v>
      </c>
      <c r="L30" s="5">
        <v>-0.02</v>
      </c>
      <c r="M30" s="5">
        <v>-0.02</v>
      </c>
      <c r="N30" s="5">
        <v>-0.02</v>
      </c>
      <c r="O30" s="5">
        <v>-0.02</v>
      </c>
      <c r="P30" s="5">
        <v>-0.02</v>
      </c>
      <c r="Q30" s="5">
        <v>-0.02</v>
      </c>
      <c r="R30" s="5">
        <v>-0.02</v>
      </c>
      <c r="S30" s="5">
        <v>0.02</v>
      </c>
      <c r="T30" s="5">
        <v>0.02</v>
      </c>
      <c r="U30" s="5">
        <v>0.02</v>
      </c>
      <c r="V30" s="5">
        <v>0.02</v>
      </c>
      <c r="W30" s="5">
        <v>0.02</v>
      </c>
      <c r="X30" s="5">
        <v>7.0000000000000007E-2</v>
      </c>
      <c r="Y30" s="5">
        <v>7.0000000000000007E-2</v>
      </c>
      <c r="Z30" s="11">
        <v>0.11</v>
      </c>
      <c r="AA30" s="2">
        <v>2004</v>
      </c>
      <c r="AC30" s="6">
        <v>0.102118506549777</v>
      </c>
    </row>
    <row r="31" spans="1:29" x14ac:dyDescent="0.35">
      <c r="A31" s="1"/>
      <c r="B31" s="10">
        <v>-0.12</v>
      </c>
      <c r="C31" s="5">
        <v>-0.12</v>
      </c>
      <c r="D31" s="5">
        <v>-0.12</v>
      </c>
      <c r="E31" s="5">
        <v>-0.12</v>
      </c>
      <c r="F31" s="5">
        <v>-7.0000000000000007E-2</v>
      </c>
      <c r="G31" s="5">
        <v>0.02</v>
      </c>
      <c r="H31" s="5">
        <v>-0.02</v>
      </c>
      <c r="I31" s="5">
        <v>0.02</v>
      </c>
      <c r="J31" s="5">
        <v>0.02</v>
      </c>
      <c r="K31" s="5">
        <v>0.02</v>
      </c>
      <c r="L31" s="5">
        <v>-0.02</v>
      </c>
      <c r="M31" s="5">
        <v>-0.02</v>
      </c>
      <c r="N31" s="5">
        <v>-0.02</v>
      </c>
      <c r="O31" s="5">
        <v>-0.02</v>
      </c>
      <c r="P31" s="5">
        <v>0.02</v>
      </c>
      <c r="Q31" s="5">
        <v>0.02</v>
      </c>
      <c r="R31" s="5">
        <v>0.02</v>
      </c>
      <c r="S31" s="5">
        <v>7.0000000000000007E-2</v>
      </c>
      <c r="T31" s="5">
        <v>7.0000000000000007E-2</v>
      </c>
      <c r="U31" s="5">
        <v>7.0000000000000007E-2</v>
      </c>
      <c r="V31" s="5">
        <v>7.0000000000000007E-2</v>
      </c>
      <c r="W31" s="5">
        <v>7.0000000000000007E-2</v>
      </c>
      <c r="X31" s="5">
        <v>7.0000000000000007E-2</v>
      </c>
      <c r="Y31" s="5">
        <v>0.11</v>
      </c>
      <c r="Z31" s="11">
        <v>0.11</v>
      </c>
      <c r="AA31" s="2">
        <v>2005</v>
      </c>
      <c r="AC31" s="6">
        <v>4.3330772348333296E-2</v>
      </c>
    </row>
    <row r="32" spans="1:29" x14ac:dyDescent="0.35">
      <c r="A32" s="1"/>
      <c r="B32" s="10">
        <v>-7.0000000000000007E-2</v>
      </c>
      <c r="C32" s="5">
        <v>-7.0000000000000007E-2</v>
      </c>
      <c r="D32" s="5">
        <v>0.02</v>
      </c>
      <c r="E32" s="5">
        <v>0.11</v>
      </c>
      <c r="F32" s="5">
        <v>0.11</v>
      </c>
      <c r="G32" s="5">
        <v>0.12</v>
      </c>
      <c r="H32" s="5">
        <v>0.12</v>
      </c>
      <c r="I32" s="5">
        <v>0.11</v>
      </c>
      <c r="J32" s="5">
        <v>0.11</v>
      </c>
      <c r="K32" s="5">
        <v>7.0000000000000007E-2</v>
      </c>
      <c r="L32" s="5">
        <v>0.11</v>
      </c>
      <c r="M32" s="5">
        <v>0.11</v>
      </c>
      <c r="N32" s="5">
        <v>7.0000000000000007E-2</v>
      </c>
      <c r="O32" s="5">
        <v>7.0000000000000007E-2</v>
      </c>
      <c r="P32" s="5">
        <v>7.0000000000000007E-2</v>
      </c>
      <c r="Q32" s="5">
        <v>7.0000000000000007E-2</v>
      </c>
      <c r="R32" s="5">
        <v>0.11</v>
      </c>
      <c r="S32" s="5">
        <v>0.11</v>
      </c>
      <c r="T32" s="5">
        <v>0.12</v>
      </c>
      <c r="U32" s="5">
        <v>0.11</v>
      </c>
      <c r="V32" s="5">
        <v>0.11</v>
      </c>
      <c r="W32" s="5">
        <v>0.11</v>
      </c>
      <c r="X32" s="5">
        <v>0.12</v>
      </c>
      <c r="Y32" s="5">
        <v>0.12</v>
      </c>
      <c r="Z32" s="11">
        <v>0.12</v>
      </c>
      <c r="AA32" s="2">
        <v>2006</v>
      </c>
      <c r="AC32" s="6">
        <v>0.15137459460870098</v>
      </c>
    </row>
    <row r="33" spans="1:29" x14ac:dyDescent="0.35">
      <c r="A33" s="1"/>
      <c r="B33" s="10">
        <v>-0.12</v>
      </c>
      <c r="C33" s="5">
        <v>-0.12</v>
      </c>
      <c r="D33" s="5">
        <v>-7.0000000000000007E-2</v>
      </c>
      <c r="E33" s="5">
        <v>-0.02</v>
      </c>
      <c r="F33" s="5">
        <v>-0.02</v>
      </c>
      <c r="G33" s="5">
        <v>-0.02</v>
      </c>
      <c r="H33" s="5">
        <v>-0.02</v>
      </c>
      <c r="I33" s="5">
        <v>-0.02</v>
      </c>
      <c r="J33" s="5">
        <v>-0.02</v>
      </c>
      <c r="K33" s="5">
        <v>7.0000000000000007E-2</v>
      </c>
      <c r="L33" s="5">
        <v>0.02</v>
      </c>
      <c r="M33" s="5">
        <v>0.02</v>
      </c>
      <c r="N33" s="5">
        <v>0.02</v>
      </c>
      <c r="O33" s="5">
        <v>-0.02</v>
      </c>
      <c r="P33" s="5">
        <v>-0.02</v>
      </c>
      <c r="Q33" s="5">
        <v>-0.02</v>
      </c>
      <c r="R33" s="5">
        <v>0.02</v>
      </c>
      <c r="S33" s="5">
        <v>0.02</v>
      </c>
      <c r="T33" s="5">
        <v>-0.02</v>
      </c>
      <c r="U33" s="5">
        <v>0.02</v>
      </c>
      <c r="V33" s="5">
        <v>0.02</v>
      </c>
      <c r="W33" s="5">
        <v>0.02</v>
      </c>
      <c r="X33" s="5">
        <v>0.02</v>
      </c>
      <c r="Y33" s="5">
        <v>-0.02</v>
      </c>
      <c r="Z33" s="11">
        <v>-0.02</v>
      </c>
      <c r="AA33" s="2">
        <v>2007</v>
      </c>
      <c r="AC33" s="6">
        <v>4.9006977157277899E-2</v>
      </c>
    </row>
    <row r="34" spans="1:29" x14ac:dyDescent="0.35">
      <c r="A34" s="1"/>
      <c r="B34" s="10">
        <v>0.3</v>
      </c>
      <c r="C34" s="5">
        <v>0.3</v>
      </c>
      <c r="D34" s="5">
        <v>0.3</v>
      </c>
      <c r="E34" s="5">
        <v>0.3</v>
      </c>
      <c r="F34" s="5">
        <v>0.3</v>
      </c>
      <c r="G34" s="5">
        <v>0.3</v>
      </c>
      <c r="H34" s="5">
        <v>0.3</v>
      </c>
      <c r="I34" s="5">
        <v>0.3</v>
      </c>
      <c r="J34" s="5">
        <v>0.3</v>
      </c>
      <c r="K34" s="5">
        <v>0.3</v>
      </c>
      <c r="L34" s="5">
        <v>0.3</v>
      </c>
      <c r="M34" s="5">
        <v>0.3</v>
      </c>
      <c r="N34" s="5">
        <v>0.3</v>
      </c>
      <c r="O34" s="5">
        <v>0.3</v>
      </c>
      <c r="P34" s="5">
        <v>0.3</v>
      </c>
      <c r="Q34" s="5">
        <v>0.3</v>
      </c>
      <c r="R34" s="5">
        <v>0.3</v>
      </c>
      <c r="S34" s="5">
        <v>0.3</v>
      </c>
      <c r="T34" s="5">
        <v>0.3</v>
      </c>
      <c r="U34" s="5">
        <v>0.3</v>
      </c>
      <c r="V34" s="5">
        <v>0.3</v>
      </c>
      <c r="W34" s="5">
        <v>0.3</v>
      </c>
      <c r="X34" s="5">
        <v>0.25</v>
      </c>
      <c r="Y34" s="5">
        <v>0.25</v>
      </c>
      <c r="Z34" s="11">
        <v>0.21</v>
      </c>
      <c r="AA34" s="2">
        <v>2008</v>
      </c>
      <c r="AC34" s="6">
        <v>-0.374477563731965</v>
      </c>
    </row>
    <row r="35" spans="1:29" x14ac:dyDescent="0.35">
      <c r="A35" s="1"/>
      <c r="B35" s="10">
        <v>-7.0000000000000007E-2</v>
      </c>
      <c r="C35" s="5">
        <v>-0.02</v>
      </c>
      <c r="D35" s="5">
        <v>0.02</v>
      </c>
      <c r="E35" s="5">
        <v>0.02</v>
      </c>
      <c r="F35" s="5">
        <v>-0.02</v>
      </c>
      <c r="G35" s="5">
        <v>7.0000000000000007E-2</v>
      </c>
      <c r="H35" s="5">
        <v>0.02</v>
      </c>
      <c r="I35" s="5">
        <v>7.0000000000000007E-2</v>
      </c>
      <c r="J35" s="5">
        <v>0.02</v>
      </c>
      <c r="K35" s="5">
        <v>7.0000000000000007E-2</v>
      </c>
      <c r="L35" s="5">
        <v>0.02</v>
      </c>
      <c r="M35" s="5">
        <v>-0.02</v>
      </c>
      <c r="N35" s="5">
        <v>0.02</v>
      </c>
      <c r="O35" s="5">
        <v>0.02</v>
      </c>
      <c r="P35" s="5">
        <v>0.02</v>
      </c>
      <c r="Q35" s="5">
        <v>0.02</v>
      </c>
      <c r="R35" s="5">
        <v>0.02</v>
      </c>
      <c r="S35" s="5">
        <v>-0.02</v>
      </c>
      <c r="T35" s="5">
        <v>0.02</v>
      </c>
      <c r="U35" s="5">
        <v>0.02</v>
      </c>
      <c r="V35" s="5">
        <v>0.02</v>
      </c>
      <c r="W35" s="5">
        <v>0.02</v>
      </c>
      <c r="X35" s="5">
        <v>-0.02</v>
      </c>
      <c r="Y35" s="5">
        <v>-0.02</v>
      </c>
      <c r="Z35" s="11">
        <v>-0.02</v>
      </c>
      <c r="AA35" s="2">
        <v>2009</v>
      </c>
      <c r="AC35" s="6">
        <v>0.255537430734044</v>
      </c>
    </row>
    <row r="36" spans="1:29" x14ac:dyDescent="0.35">
      <c r="A36" s="1"/>
      <c r="B36" s="10">
        <v>-0.02</v>
      </c>
      <c r="C36" s="5">
        <v>0.02</v>
      </c>
      <c r="D36" s="5">
        <v>-0.02</v>
      </c>
      <c r="E36" s="5">
        <v>0.02</v>
      </c>
      <c r="F36" s="5">
        <v>0.02</v>
      </c>
      <c r="G36" s="5">
        <v>-0.02</v>
      </c>
      <c r="H36" s="5">
        <v>0.11</v>
      </c>
      <c r="I36" s="5">
        <v>7.0000000000000007E-2</v>
      </c>
      <c r="J36" s="5">
        <v>0.11</v>
      </c>
      <c r="K36" s="5">
        <v>0.11</v>
      </c>
      <c r="L36" s="5">
        <v>7.0000000000000007E-2</v>
      </c>
      <c r="M36" s="5">
        <v>0.11</v>
      </c>
      <c r="N36" s="5">
        <v>7.0000000000000007E-2</v>
      </c>
      <c r="O36" s="5">
        <v>0.11</v>
      </c>
      <c r="P36" s="5">
        <v>7.0000000000000007E-2</v>
      </c>
      <c r="Q36" s="5">
        <v>0.12</v>
      </c>
      <c r="R36" s="5">
        <v>0.12</v>
      </c>
      <c r="S36" s="5">
        <v>0.16</v>
      </c>
      <c r="T36" s="5">
        <v>0.16</v>
      </c>
      <c r="U36" s="5">
        <v>0.16</v>
      </c>
      <c r="V36" s="5">
        <v>0.16</v>
      </c>
      <c r="W36" s="5">
        <v>0.16</v>
      </c>
      <c r="X36" s="5">
        <v>0.16</v>
      </c>
      <c r="Y36" s="5">
        <v>0.21</v>
      </c>
      <c r="Z36" s="11">
        <v>0.3</v>
      </c>
      <c r="AA36" s="2">
        <v>2010</v>
      </c>
      <c r="AC36" s="6">
        <v>0.14374227529193098</v>
      </c>
    </row>
    <row r="37" spans="1:29" x14ac:dyDescent="0.35">
      <c r="A37" s="1"/>
      <c r="B37" s="10">
        <v>-7.0000000000000007E-2</v>
      </c>
      <c r="C37" s="5">
        <v>-7.0000000000000007E-2</v>
      </c>
      <c r="D37" s="5">
        <v>-0.02</v>
      </c>
      <c r="E37" s="5">
        <v>0.02</v>
      </c>
      <c r="F37" s="5">
        <v>-0.02</v>
      </c>
      <c r="G37" s="5">
        <v>0.02</v>
      </c>
      <c r="H37" s="5">
        <v>0.02</v>
      </c>
      <c r="I37" s="5">
        <v>0.02</v>
      </c>
      <c r="J37" s="5">
        <v>0.02</v>
      </c>
      <c r="K37" s="5">
        <v>-0.02</v>
      </c>
      <c r="L37" s="5">
        <v>0.02</v>
      </c>
      <c r="M37" s="5">
        <v>0.02</v>
      </c>
      <c r="N37" s="5">
        <v>0.02</v>
      </c>
      <c r="O37" s="5">
        <v>-0.02</v>
      </c>
      <c r="P37" s="5">
        <v>0.02</v>
      </c>
      <c r="Q37" s="5">
        <v>-0.02</v>
      </c>
      <c r="R37" s="5">
        <v>-0.02</v>
      </c>
      <c r="S37" s="5">
        <v>-0.02</v>
      </c>
      <c r="T37" s="5">
        <v>-0.02</v>
      </c>
      <c r="U37" s="5">
        <v>0.02</v>
      </c>
      <c r="V37" s="5">
        <v>0.02</v>
      </c>
      <c r="W37" s="5">
        <v>0.02</v>
      </c>
      <c r="X37" s="5">
        <v>0.02</v>
      </c>
      <c r="Y37" s="5">
        <v>0.02</v>
      </c>
      <c r="Z37" s="11">
        <v>-0.02</v>
      </c>
      <c r="AA37" s="2">
        <v>2011</v>
      </c>
      <c r="AC37" s="6">
        <v>1.4728988744168101E-2</v>
      </c>
    </row>
    <row r="38" spans="1:29" x14ac:dyDescent="0.35">
      <c r="A38" s="1"/>
      <c r="B38" s="10">
        <v>-0.02</v>
      </c>
      <c r="C38" s="5">
        <v>-0.02</v>
      </c>
      <c r="D38" s="5">
        <v>-0.02</v>
      </c>
      <c r="E38" s="5">
        <v>-0.02</v>
      </c>
      <c r="F38" s="5">
        <v>-7.0000000000000007E-2</v>
      </c>
      <c r="G38" s="5">
        <v>-0.12</v>
      </c>
      <c r="H38" s="5">
        <v>-0.12</v>
      </c>
      <c r="I38" s="5">
        <v>-0.16</v>
      </c>
      <c r="J38" s="5">
        <v>-0.12</v>
      </c>
      <c r="K38" s="5">
        <v>-0.12</v>
      </c>
      <c r="L38" s="5">
        <v>-0.12</v>
      </c>
      <c r="M38" s="5">
        <v>-0.12</v>
      </c>
      <c r="N38" s="5">
        <v>-0.12</v>
      </c>
      <c r="O38" s="5">
        <v>-0.12</v>
      </c>
      <c r="P38" s="5">
        <v>-0.12</v>
      </c>
      <c r="Q38" s="5">
        <v>-0.12</v>
      </c>
      <c r="R38" s="5">
        <v>-0.12</v>
      </c>
      <c r="S38" s="5">
        <v>-0.12</v>
      </c>
      <c r="T38" s="5">
        <v>-0.12</v>
      </c>
      <c r="U38" s="5">
        <v>-0.12</v>
      </c>
      <c r="V38" s="5">
        <v>-0.12</v>
      </c>
      <c r="W38" s="5">
        <v>-0.16</v>
      </c>
      <c r="X38" s="5">
        <v>-0.16</v>
      </c>
      <c r="Y38" s="5">
        <v>-0.16</v>
      </c>
      <c r="Z38" s="11">
        <v>-0.16</v>
      </c>
      <c r="AA38" s="2">
        <v>2012</v>
      </c>
      <c r="AC38" s="6">
        <v>0.152178461324528</v>
      </c>
    </row>
    <row r="39" spans="1:29" x14ac:dyDescent="0.35">
      <c r="A39" s="1"/>
      <c r="B39" s="10">
        <v>-0.12</v>
      </c>
      <c r="C39" s="5">
        <v>-0.12</v>
      </c>
      <c r="D39" s="5">
        <v>-0.12</v>
      </c>
      <c r="E39" s="5">
        <v>-7.0000000000000007E-2</v>
      </c>
      <c r="F39" s="5">
        <v>-0.12</v>
      </c>
      <c r="G39" s="5">
        <v>-7.0000000000000007E-2</v>
      </c>
      <c r="H39" s="5">
        <v>-7.0000000000000007E-2</v>
      </c>
      <c r="I39" s="5">
        <v>-7.0000000000000007E-2</v>
      </c>
      <c r="J39" s="5">
        <v>-7.0000000000000007E-2</v>
      </c>
      <c r="K39" s="5">
        <v>-7.0000000000000007E-2</v>
      </c>
      <c r="L39" s="5">
        <v>-7.0000000000000007E-2</v>
      </c>
      <c r="M39" s="5">
        <v>-0.02</v>
      </c>
      <c r="N39" s="5">
        <v>-0.02</v>
      </c>
      <c r="O39" s="5">
        <v>-0.02</v>
      </c>
      <c r="P39" s="5">
        <v>-0.02</v>
      </c>
      <c r="Q39" s="5">
        <v>-0.02</v>
      </c>
      <c r="R39" s="5">
        <v>-7.0000000000000007E-2</v>
      </c>
      <c r="S39" s="5">
        <v>-0.02</v>
      </c>
      <c r="T39" s="5">
        <v>-0.02</v>
      </c>
      <c r="U39" s="5">
        <v>-0.02</v>
      </c>
      <c r="V39" s="5">
        <v>0.02</v>
      </c>
      <c r="W39" s="5">
        <v>-0.02</v>
      </c>
      <c r="X39" s="5">
        <v>0.02</v>
      </c>
      <c r="Y39" s="5">
        <v>0.02</v>
      </c>
      <c r="Z39" s="11">
        <v>7.0000000000000007E-2</v>
      </c>
      <c r="AA39" s="2">
        <v>2013</v>
      </c>
      <c r="AC39" s="6">
        <v>0.315458724866296</v>
      </c>
    </row>
    <row r="40" spans="1:29" x14ac:dyDescent="0.35">
      <c r="A40" s="1"/>
      <c r="B40" s="10">
        <v>0.02</v>
      </c>
      <c r="C40" s="5">
        <v>0.11</v>
      </c>
      <c r="D40" s="5">
        <v>0.11</v>
      </c>
      <c r="E40" s="5">
        <v>0.21</v>
      </c>
      <c r="F40" s="5">
        <v>0.25</v>
      </c>
      <c r="G40" s="5">
        <v>0.3</v>
      </c>
      <c r="H40" s="5">
        <v>0.3</v>
      </c>
      <c r="I40" s="5">
        <v>0.25</v>
      </c>
      <c r="J40" s="5">
        <v>0.3</v>
      </c>
      <c r="K40" s="5">
        <v>0.25</v>
      </c>
      <c r="L40" s="5">
        <v>0.21</v>
      </c>
      <c r="M40" s="5">
        <v>0.21</v>
      </c>
      <c r="N40" s="5">
        <v>0.16</v>
      </c>
      <c r="O40" s="5">
        <v>0.16</v>
      </c>
      <c r="P40" s="5">
        <v>0.16</v>
      </c>
      <c r="Q40" s="5">
        <v>0.21</v>
      </c>
      <c r="R40" s="5">
        <v>0.21</v>
      </c>
      <c r="S40" s="5">
        <v>0.21</v>
      </c>
      <c r="T40" s="5">
        <v>0.25</v>
      </c>
      <c r="U40" s="5">
        <v>0.25</v>
      </c>
      <c r="V40" s="5">
        <v>0.21</v>
      </c>
      <c r="W40" s="5">
        <v>0.3</v>
      </c>
      <c r="X40" s="5">
        <v>0.21</v>
      </c>
      <c r="Y40" s="5">
        <v>0.21</v>
      </c>
      <c r="Z40" s="11">
        <v>0.25</v>
      </c>
      <c r="AA40" s="2">
        <v>2014</v>
      </c>
      <c r="AC40" s="6">
        <v>0.129943786696019</v>
      </c>
    </row>
    <row r="41" spans="1:29" x14ac:dyDescent="0.35">
      <c r="A41" s="1"/>
      <c r="B41" s="10">
        <v>-0.21</v>
      </c>
      <c r="C41" s="5">
        <v>-0.16</v>
      </c>
      <c r="D41" s="5">
        <v>-0.12</v>
      </c>
      <c r="E41" s="5">
        <v>-7.0000000000000007E-2</v>
      </c>
      <c r="F41" s="5">
        <v>-7.0000000000000007E-2</v>
      </c>
      <c r="G41" s="5">
        <v>-7.0000000000000007E-2</v>
      </c>
      <c r="H41" s="5">
        <v>-7.0000000000000007E-2</v>
      </c>
      <c r="I41" s="5">
        <v>-7.0000000000000007E-2</v>
      </c>
      <c r="J41" s="5">
        <v>-0.02</v>
      </c>
      <c r="K41" s="5">
        <v>-0.02</v>
      </c>
      <c r="L41" s="5">
        <v>-0.02</v>
      </c>
      <c r="M41" s="5">
        <v>0.02</v>
      </c>
      <c r="N41" s="5">
        <v>-0.02</v>
      </c>
      <c r="O41" s="5">
        <v>0.02</v>
      </c>
      <c r="P41" s="5">
        <v>0.02</v>
      </c>
      <c r="Q41" s="5">
        <v>0.02</v>
      </c>
      <c r="R41" s="5">
        <v>0.02</v>
      </c>
      <c r="S41" s="5">
        <v>7.0000000000000007E-2</v>
      </c>
      <c r="T41" s="5">
        <v>7.0000000000000007E-2</v>
      </c>
      <c r="U41" s="5">
        <v>0.11</v>
      </c>
      <c r="V41" s="5">
        <v>0.11</v>
      </c>
      <c r="W41" s="5">
        <v>0.16</v>
      </c>
      <c r="X41" s="5">
        <v>0.16</v>
      </c>
      <c r="Y41" s="5">
        <v>0.16</v>
      </c>
      <c r="Z41" s="11">
        <v>0.16</v>
      </c>
      <c r="AA41" s="2">
        <v>2015</v>
      </c>
      <c r="AC41" s="6">
        <v>7.4599293776927101E-3</v>
      </c>
    </row>
    <row r="42" spans="1:29" x14ac:dyDescent="0.35">
      <c r="A42" s="1"/>
      <c r="B42" s="10">
        <v>7.0000000000000007E-2</v>
      </c>
      <c r="C42" s="5">
        <v>0.02</v>
      </c>
      <c r="D42" s="5">
        <v>0.02</v>
      </c>
      <c r="E42" s="5">
        <v>-0.02</v>
      </c>
      <c r="F42" s="5">
        <v>-0.02</v>
      </c>
      <c r="G42" s="5">
        <v>0.02</v>
      </c>
      <c r="H42" s="5">
        <v>7.0000000000000007E-2</v>
      </c>
      <c r="I42" s="5">
        <v>0.02</v>
      </c>
      <c r="J42" s="5">
        <v>7.0000000000000007E-2</v>
      </c>
      <c r="K42" s="5">
        <v>0.16</v>
      </c>
      <c r="L42" s="5">
        <v>0.16</v>
      </c>
      <c r="M42" s="5">
        <v>0.12</v>
      </c>
      <c r="N42" s="5">
        <v>0.12</v>
      </c>
      <c r="O42" s="5">
        <v>0.11</v>
      </c>
      <c r="P42" s="5">
        <v>7.0000000000000007E-2</v>
      </c>
      <c r="Q42" s="5">
        <v>7.0000000000000007E-2</v>
      </c>
      <c r="R42" s="5">
        <v>-0.02</v>
      </c>
      <c r="S42" s="5">
        <v>0.02</v>
      </c>
      <c r="T42" s="5">
        <v>0.02</v>
      </c>
      <c r="U42" s="5">
        <v>-0.02</v>
      </c>
      <c r="V42" s="5">
        <v>0.02</v>
      </c>
      <c r="W42" s="5">
        <v>0.02</v>
      </c>
      <c r="X42" s="5">
        <v>-0.02</v>
      </c>
      <c r="Y42" s="5">
        <v>-0.02</v>
      </c>
      <c r="Z42" s="11">
        <v>-0.02</v>
      </c>
      <c r="AA42" s="2">
        <v>2016</v>
      </c>
      <c r="AC42" s="6">
        <v>0.11226919785412801</v>
      </c>
    </row>
    <row r="43" spans="1:29" x14ac:dyDescent="0.35">
      <c r="A43" s="1"/>
      <c r="B43" s="10">
        <v>-7.0000000000000007E-2</v>
      </c>
      <c r="C43" s="5">
        <v>-7.0000000000000007E-2</v>
      </c>
      <c r="D43" s="5">
        <v>-0.12</v>
      </c>
      <c r="E43" s="5">
        <v>-0.12</v>
      </c>
      <c r="F43" s="5">
        <v>-0.12</v>
      </c>
      <c r="G43" s="5">
        <v>-0.12</v>
      </c>
      <c r="H43" s="5">
        <v>-7.0000000000000007E-2</v>
      </c>
      <c r="I43" s="5">
        <v>-0.12</v>
      </c>
      <c r="J43" s="5">
        <v>-7.0000000000000007E-2</v>
      </c>
      <c r="K43" s="5">
        <v>-7.0000000000000007E-2</v>
      </c>
      <c r="L43" s="5">
        <v>-7.0000000000000007E-2</v>
      </c>
      <c r="M43" s="5">
        <v>-7.0000000000000007E-2</v>
      </c>
      <c r="N43" s="5">
        <v>-0.12</v>
      </c>
      <c r="O43" s="5">
        <v>-7.0000000000000007E-2</v>
      </c>
      <c r="P43" s="5">
        <v>-7.0000000000000007E-2</v>
      </c>
      <c r="Q43" s="5">
        <v>-7.0000000000000007E-2</v>
      </c>
      <c r="R43" s="5">
        <v>-7.0000000000000007E-2</v>
      </c>
      <c r="S43" s="5">
        <v>-7.0000000000000007E-2</v>
      </c>
      <c r="T43" s="5">
        <v>-7.0000000000000007E-2</v>
      </c>
      <c r="U43" s="5">
        <v>-0.02</v>
      </c>
      <c r="V43" s="5">
        <v>-7.0000000000000007E-2</v>
      </c>
      <c r="W43" s="5">
        <v>-0.02</v>
      </c>
      <c r="X43" s="5">
        <v>-0.02</v>
      </c>
      <c r="Y43" s="5">
        <v>-0.02</v>
      </c>
      <c r="Z43" s="11">
        <v>-0.02</v>
      </c>
      <c r="AA43" s="2">
        <v>2017</v>
      </c>
      <c r="AC43" s="6">
        <v>0.21103123769372498</v>
      </c>
    </row>
    <row r="44" spans="1:29" x14ac:dyDescent="0.35">
      <c r="A44" s="1"/>
      <c r="B44" s="10">
        <v>7.0000000000000007E-2</v>
      </c>
      <c r="C44" s="5">
        <v>0.02</v>
      </c>
      <c r="D44" s="5">
        <v>-0.02</v>
      </c>
      <c r="E44" s="5">
        <v>-0.02</v>
      </c>
      <c r="F44" s="5">
        <v>-7.0000000000000007E-2</v>
      </c>
      <c r="G44" s="5">
        <v>-0.02</v>
      </c>
      <c r="H44" s="5">
        <v>-0.02</v>
      </c>
      <c r="I44" s="5">
        <v>-0.02</v>
      </c>
      <c r="J44" s="5">
        <v>-7.0000000000000007E-2</v>
      </c>
      <c r="K44" s="5">
        <v>-0.02</v>
      </c>
      <c r="L44" s="5">
        <v>0.02</v>
      </c>
      <c r="M44" s="5">
        <v>-0.02</v>
      </c>
      <c r="N44" s="5">
        <v>-0.02</v>
      </c>
      <c r="O44" s="5">
        <v>0.02</v>
      </c>
      <c r="P44" s="5">
        <v>0.02</v>
      </c>
      <c r="Q44" s="5">
        <v>-0.02</v>
      </c>
      <c r="R44" s="5">
        <v>0.02</v>
      </c>
      <c r="S44" s="5">
        <v>0.02</v>
      </c>
      <c r="T44" s="5">
        <v>0.02</v>
      </c>
      <c r="U44" s="5">
        <v>0.02</v>
      </c>
      <c r="V44" s="5">
        <v>0.02</v>
      </c>
      <c r="W44" s="5">
        <v>0.02</v>
      </c>
      <c r="X44" s="5">
        <v>-0.02</v>
      </c>
      <c r="Y44" s="5">
        <v>-0.02</v>
      </c>
      <c r="Z44" s="11">
        <v>-0.02</v>
      </c>
      <c r="AA44" s="2">
        <v>2018</v>
      </c>
      <c r="AC44" s="6">
        <v>-4.9440370029709503E-2</v>
      </c>
    </row>
    <row r="45" spans="1:29" x14ac:dyDescent="0.35">
      <c r="A45" s="1"/>
      <c r="B45" s="10">
        <v>-7.0000000000000007E-2</v>
      </c>
      <c r="C45" s="5">
        <v>-7.0000000000000007E-2</v>
      </c>
      <c r="D45" s="5">
        <v>-7.0000000000000007E-2</v>
      </c>
      <c r="E45" s="5">
        <v>-7.0000000000000007E-2</v>
      </c>
      <c r="F45" s="5">
        <v>-0.12</v>
      </c>
      <c r="G45" s="5">
        <v>-0.12</v>
      </c>
      <c r="H45" s="5">
        <v>-7.0000000000000007E-2</v>
      </c>
      <c r="I45" s="5">
        <v>-7.0000000000000007E-2</v>
      </c>
      <c r="J45" s="5">
        <v>-0.12</v>
      </c>
      <c r="K45" s="5">
        <v>-7.0000000000000007E-2</v>
      </c>
      <c r="L45" s="5">
        <v>-7.0000000000000007E-2</v>
      </c>
      <c r="M45" s="5">
        <v>-0.12</v>
      </c>
      <c r="N45" s="5">
        <v>-7.0000000000000007E-2</v>
      </c>
      <c r="O45" s="5">
        <v>-7.0000000000000007E-2</v>
      </c>
      <c r="P45" s="5">
        <v>-7.0000000000000007E-2</v>
      </c>
      <c r="Q45" s="5">
        <v>-7.0000000000000007E-2</v>
      </c>
      <c r="R45" s="5">
        <v>-7.0000000000000007E-2</v>
      </c>
      <c r="S45" s="5">
        <v>-7.0000000000000007E-2</v>
      </c>
      <c r="T45" s="5">
        <v>-7.0000000000000007E-2</v>
      </c>
      <c r="U45" s="5">
        <v>-7.0000000000000007E-2</v>
      </c>
      <c r="V45" s="5">
        <v>-7.0000000000000007E-2</v>
      </c>
      <c r="W45" s="5">
        <v>-0.02</v>
      </c>
      <c r="X45" s="5">
        <v>-0.02</v>
      </c>
      <c r="Y45" s="5">
        <v>-0.02</v>
      </c>
      <c r="Z45" s="11">
        <v>-0.02</v>
      </c>
      <c r="AA45" s="2">
        <v>2019</v>
      </c>
      <c r="AC45" s="6">
        <v>0.30698538016004701</v>
      </c>
    </row>
    <row r="46" spans="1:29" x14ac:dyDescent="0.35">
      <c r="A46" s="1"/>
      <c r="B46" s="10">
        <v>0.3</v>
      </c>
      <c r="C46" s="5">
        <v>0.21</v>
      </c>
      <c r="D46" s="5">
        <v>0.12</v>
      </c>
      <c r="E46" s="5">
        <v>7.0000000000000007E-2</v>
      </c>
      <c r="F46" s="5">
        <v>0.11</v>
      </c>
      <c r="G46" s="5">
        <v>-0.02</v>
      </c>
      <c r="H46" s="5">
        <v>-7.0000000000000007E-2</v>
      </c>
      <c r="I46" s="5">
        <v>-7.0000000000000007E-2</v>
      </c>
      <c r="J46" s="5">
        <v>-7.0000000000000007E-2</v>
      </c>
      <c r="K46" s="5">
        <v>-0.02</v>
      </c>
      <c r="L46" s="5">
        <v>-7.0000000000000007E-2</v>
      </c>
      <c r="M46" s="5">
        <v>-7.0000000000000007E-2</v>
      </c>
      <c r="N46" s="5">
        <v>-7.0000000000000007E-2</v>
      </c>
      <c r="O46" s="5">
        <v>-7.0000000000000007E-2</v>
      </c>
      <c r="P46" s="5">
        <v>-0.12</v>
      </c>
      <c r="Q46" s="5">
        <v>-7.0000000000000007E-2</v>
      </c>
      <c r="R46" s="5">
        <v>-0.12</v>
      </c>
      <c r="S46" s="5">
        <v>-0.12</v>
      </c>
      <c r="T46" s="5">
        <v>-7.0000000000000007E-2</v>
      </c>
      <c r="U46" s="5">
        <v>-7.0000000000000007E-2</v>
      </c>
      <c r="V46" s="5">
        <v>-7.0000000000000007E-2</v>
      </c>
      <c r="W46" s="5">
        <v>-7.0000000000000007E-2</v>
      </c>
      <c r="X46" s="5">
        <v>-0.12</v>
      </c>
      <c r="Y46" s="5">
        <v>-7.0000000000000007E-2</v>
      </c>
      <c r="Z46" s="11">
        <v>-0.12</v>
      </c>
      <c r="AA46" s="2">
        <v>2020</v>
      </c>
      <c r="AC46" s="6">
        <v>0.177527454836369</v>
      </c>
    </row>
    <row r="47" spans="1:29" x14ac:dyDescent="0.35">
      <c r="A47" s="1"/>
      <c r="B47" s="10">
        <v>0.02</v>
      </c>
      <c r="C47" s="5">
        <v>0.02</v>
      </c>
      <c r="D47" s="5">
        <v>0.02</v>
      </c>
      <c r="E47" s="5">
        <v>0.02</v>
      </c>
      <c r="F47" s="5">
        <v>7.0000000000000007E-2</v>
      </c>
      <c r="G47" s="5">
        <v>7.0000000000000007E-2</v>
      </c>
      <c r="H47" s="5">
        <v>0.16</v>
      </c>
      <c r="I47" s="5">
        <v>0.3</v>
      </c>
      <c r="J47" s="5">
        <v>0.16</v>
      </c>
      <c r="K47" s="5">
        <v>0.16</v>
      </c>
      <c r="L47" s="5">
        <v>0.21</v>
      </c>
      <c r="M47" s="5">
        <v>0.16</v>
      </c>
      <c r="N47" s="5">
        <v>0.16</v>
      </c>
      <c r="O47" s="5">
        <v>0.16</v>
      </c>
      <c r="P47" s="5">
        <v>0.3</v>
      </c>
      <c r="Q47" s="5">
        <v>0.21</v>
      </c>
      <c r="R47" s="5">
        <v>0.21</v>
      </c>
      <c r="S47" s="5">
        <v>0.21</v>
      </c>
      <c r="T47" s="5">
        <v>0.25</v>
      </c>
      <c r="U47" s="5">
        <v>0.21</v>
      </c>
      <c r="V47" s="5">
        <v>0.21</v>
      </c>
      <c r="W47" s="5">
        <v>0.21</v>
      </c>
      <c r="X47" s="5">
        <v>0.16</v>
      </c>
      <c r="Y47" s="5">
        <v>0.16</v>
      </c>
      <c r="Z47" s="11">
        <v>0.16</v>
      </c>
      <c r="AA47" s="2">
        <v>2021</v>
      </c>
      <c r="AC47" s="6">
        <v>0.28158941936252302</v>
      </c>
    </row>
    <row r="48" spans="1:29" x14ac:dyDescent="0.35">
      <c r="A48" s="1"/>
      <c r="B48" s="10">
        <v>-7.0000000000000007E-2</v>
      </c>
      <c r="C48" s="5">
        <v>-0.21</v>
      </c>
      <c r="D48" s="5">
        <v>0.02</v>
      </c>
      <c r="E48" s="5">
        <v>7.0000000000000007E-2</v>
      </c>
      <c r="F48" s="5">
        <v>0.11</v>
      </c>
      <c r="G48" s="5">
        <v>0.11</v>
      </c>
      <c r="H48" s="5">
        <v>0.21</v>
      </c>
      <c r="I48" s="5">
        <v>0.25</v>
      </c>
      <c r="J48" s="5">
        <v>0.16</v>
      </c>
      <c r="K48" s="5">
        <v>0.3</v>
      </c>
      <c r="L48" s="5">
        <v>0.3</v>
      </c>
      <c r="M48" s="5">
        <v>0.3</v>
      </c>
      <c r="N48" s="5">
        <v>0.3</v>
      </c>
      <c r="O48" s="5">
        <v>0.3</v>
      </c>
      <c r="P48" s="5">
        <v>0.3</v>
      </c>
      <c r="Q48" s="5">
        <v>0.3</v>
      </c>
      <c r="R48" s="5">
        <v>0.3</v>
      </c>
      <c r="S48" s="5">
        <v>0.3</v>
      </c>
      <c r="T48" s="5">
        <v>0.3</v>
      </c>
      <c r="U48" s="5">
        <v>0.3</v>
      </c>
      <c r="V48" s="5">
        <v>0.3</v>
      </c>
      <c r="W48" s="5">
        <v>0.3</v>
      </c>
      <c r="X48" s="5">
        <v>0.3</v>
      </c>
      <c r="Y48" s="5">
        <v>0.3</v>
      </c>
      <c r="Z48" s="11">
        <v>0.3</v>
      </c>
      <c r="AA48" s="2">
        <v>2022</v>
      </c>
      <c r="AC48" s="6">
        <v>-0.18512766809571599</v>
      </c>
    </row>
    <row r="49" spans="1:29" x14ac:dyDescent="0.35">
      <c r="A49" s="1"/>
      <c r="B49" s="10">
        <v>-0.16</v>
      </c>
      <c r="C49" s="5">
        <v>-0.16</v>
      </c>
      <c r="D49" s="5">
        <v>-0.16</v>
      </c>
      <c r="E49" s="5">
        <v>-0.12</v>
      </c>
      <c r="F49" s="5">
        <v>-0.21</v>
      </c>
      <c r="G49" s="5">
        <v>-0.21</v>
      </c>
      <c r="H49" s="5">
        <v>-0.12</v>
      </c>
      <c r="I49" s="5">
        <v>-0.16</v>
      </c>
      <c r="J49" s="5">
        <v>-0.12</v>
      </c>
      <c r="K49" s="5">
        <v>-0.12</v>
      </c>
      <c r="L49" s="5">
        <v>-0.12</v>
      </c>
      <c r="M49" s="5">
        <v>-0.12</v>
      </c>
      <c r="N49" s="5">
        <v>-0.12</v>
      </c>
      <c r="O49" s="5">
        <v>-0.12</v>
      </c>
      <c r="P49" s="5">
        <v>-0.12</v>
      </c>
      <c r="Q49" s="5">
        <v>-0.21</v>
      </c>
      <c r="R49" s="5">
        <v>-0.21</v>
      </c>
      <c r="S49" s="5">
        <v>-0.21</v>
      </c>
      <c r="T49" s="5">
        <v>-0.16</v>
      </c>
      <c r="U49" s="5">
        <v>-0.16</v>
      </c>
      <c r="V49" s="5">
        <v>-0.21</v>
      </c>
      <c r="W49" s="5">
        <v>-0.21</v>
      </c>
      <c r="X49" s="5">
        <v>-0.21</v>
      </c>
      <c r="Y49" s="5">
        <v>-0.16</v>
      </c>
      <c r="Z49" s="11">
        <v>-0.12</v>
      </c>
      <c r="AA49" s="2">
        <v>2023</v>
      </c>
      <c r="AC49" s="6">
        <v>0.25666995284540201</v>
      </c>
    </row>
    <row r="50" spans="1:29" x14ac:dyDescent="0.35">
      <c r="A50" s="1"/>
      <c r="B50" s="10">
        <v>-7.0000000000000007E-2</v>
      </c>
      <c r="C50" s="5">
        <v>-7.0000000000000007E-2</v>
      </c>
      <c r="D50" s="5">
        <v>-7.0000000000000007E-2</v>
      </c>
      <c r="E50" s="5">
        <v>-0.12</v>
      </c>
      <c r="F50" s="5">
        <v>-0.02</v>
      </c>
      <c r="G50" s="5">
        <v>-0.02</v>
      </c>
      <c r="H50" s="5">
        <v>0.02</v>
      </c>
      <c r="I50" s="5">
        <v>-0.02</v>
      </c>
      <c r="J50" s="5">
        <v>-0.02</v>
      </c>
      <c r="K50" s="5">
        <v>-0.02</v>
      </c>
      <c r="L50" s="5">
        <v>-0.02</v>
      </c>
      <c r="M50" s="5">
        <v>0.02</v>
      </c>
      <c r="N50" s="5">
        <v>7.0000000000000007E-2</v>
      </c>
      <c r="O50" s="5">
        <v>0.11</v>
      </c>
      <c r="P50" s="5">
        <v>0.12</v>
      </c>
      <c r="Q50" s="5">
        <v>0.12</v>
      </c>
      <c r="R50" s="5">
        <v>0.16</v>
      </c>
      <c r="S50" s="5">
        <v>0.16</v>
      </c>
      <c r="T50" s="5">
        <v>0.16</v>
      </c>
      <c r="U50" s="5">
        <v>0.3</v>
      </c>
      <c r="V50" s="5">
        <v>0.16</v>
      </c>
      <c r="W50" s="5">
        <v>0.16</v>
      </c>
      <c r="X50" s="5">
        <v>0.12</v>
      </c>
      <c r="Y50" s="5">
        <v>0.11</v>
      </c>
      <c r="Z50" s="11">
        <v>0.11</v>
      </c>
      <c r="AA50" s="2">
        <v>2024</v>
      </c>
      <c r="AC50" s="6">
        <v>0.245040397095274</v>
      </c>
    </row>
    <row r="51" spans="1:29" ht="15" thickBot="1" x14ac:dyDescent="0.4">
      <c r="A51" s="1"/>
      <c r="B51" s="12">
        <v>-7.0000000000000007E-2</v>
      </c>
      <c r="C51" s="13">
        <v>-7.0000000000000007E-2</v>
      </c>
      <c r="D51" s="13">
        <v>-7.0000000000000007E-2</v>
      </c>
      <c r="E51" s="13">
        <v>-0.12</v>
      </c>
      <c r="F51" s="13">
        <v>-7.0000000000000007E-2</v>
      </c>
      <c r="G51" s="13">
        <v>-7.0000000000000007E-2</v>
      </c>
      <c r="H51" s="13">
        <v>-0.12</v>
      </c>
      <c r="I51" s="13">
        <v>-0.12</v>
      </c>
      <c r="J51" s="13">
        <v>-7.0000000000000007E-2</v>
      </c>
      <c r="K51" s="13">
        <v>-0.12</v>
      </c>
      <c r="L51" s="13">
        <v>-0.12</v>
      </c>
      <c r="M51" s="13">
        <v>-0.12</v>
      </c>
      <c r="N51" s="13">
        <v>-7.0000000000000007E-2</v>
      </c>
      <c r="O51" s="13">
        <v>-7.0000000000000007E-2</v>
      </c>
      <c r="P51" s="13">
        <v>-7.0000000000000007E-2</v>
      </c>
      <c r="Q51" s="13">
        <v>-7.0000000000000007E-2</v>
      </c>
      <c r="R51" s="13">
        <v>-7.0000000000000007E-2</v>
      </c>
      <c r="S51" s="13">
        <v>-7.0000000000000007E-2</v>
      </c>
      <c r="T51" s="13">
        <v>-7.0000000000000007E-2</v>
      </c>
      <c r="U51" s="13">
        <v>-7.0000000000000007E-2</v>
      </c>
      <c r="V51" s="13">
        <v>-7.0000000000000007E-2</v>
      </c>
      <c r="W51" s="13">
        <v>-7.0000000000000007E-2</v>
      </c>
      <c r="X51" s="13">
        <v>-7.0000000000000007E-2</v>
      </c>
      <c r="Y51" s="13">
        <v>-7.0000000000000007E-2</v>
      </c>
      <c r="Z51" s="14">
        <v>-7.0000000000000007E-2</v>
      </c>
      <c r="AA51" s="2">
        <v>2025</v>
      </c>
      <c r="AC51" s="6">
        <v>0.17430393619231702</v>
      </c>
    </row>
    <row r="52" spans="1:29" x14ac:dyDescent="0.35">
      <c r="A52" s="1"/>
      <c r="B52" s="2">
        <v>60</v>
      </c>
      <c r="C52" s="2">
        <v>70</v>
      </c>
      <c r="D52" s="2">
        <v>80</v>
      </c>
      <c r="E52" s="2">
        <v>90</v>
      </c>
      <c r="F52" s="2">
        <v>100</v>
      </c>
      <c r="G52" s="2">
        <v>110</v>
      </c>
      <c r="H52" s="2">
        <v>120</v>
      </c>
      <c r="I52" s="2">
        <v>130</v>
      </c>
      <c r="J52" s="2">
        <v>140</v>
      </c>
      <c r="K52" s="2">
        <v>150</v>
      </c>
      <c r="L52" s="2">
        <v>160</v>
      </c>
      <c r="M52" s="2">
        <v>170</v>
      </c>
      <c r="N52" s="2">
        <v>180</v>
      </c>
      <c r="O52" s="2">
        <v>190</v>
      </c>
      <c r="P52" s="2">
        <v>200</v>
      </c>
      <c r="Q52" s="2">
        <v>210</v>
      </c>
      <c r="R52" s="2">
        <v>220</v>
      </c>
      <c r="S52" s="2">
        <v>230</v>
      </c>
      <c r="T52" s="2">
        <v>240</v>
      </c>
      <c r="U52" s="2">
        <v>250</v>
      </c>
      <c r="V52" s="2">
        <v>260</v>
      </c>
      <c r="W52" s="2">
        <v>270</v>
      </c>
      <c r="X52" s="2">
        <v>280</v>
      </c>
      <c r="Y52" s="2">
        <v>290</v>
      </c>
      <c r="Z52" s="2">
        <v>300</v>
      </c>
      <c r="AA52" s="2"/>
    </row>
    <row r="53" spans="1:29" x14ac:dyDescent="0.35">
      <c r="A53" s="3" t="s">
        <v>1</v>
      </c>
      <c r="B53" s="3" cm="1">
        <f t="array" ref="B53">INDEX(LINEST(B26:B51,$AC26:$AC51^{1,2}),1,1)</f>
        <v>1.2971512108942775</v>
      </c>
      <c r="C53" s="3" cm="1">
        <f t="array" ref="C53">INDEX(LINEST(C26:C51,$AC26:$AC51^{1,2}),1,1)</f>
        <v>1.268592423828756</v>
      </c>
      <c r="D53" s="3" cm="1">
        <f t="array" ref="D53">INDEX(LINEST(D26:D51,$AC26:$AC51^{1,2}),1,1)</f>
        <v>1.1207347022829202</v>
      </c>
      <c r="E53" s="3" cm="1">
        <f t="array" ref="E53">INDEX(LINEST(E26:E51,$AC26:$AC51^{1,2}),1,1)</f>
        <v>1.0350556791684218</v>
      </c>
      <c r="F53" s="3" cm="1">
        <f t="array" ref="F53">INDEX(LINEST(F26:F51,$AC26:$AC51^{1,2}),1,1)</f>
        <v>0.91684391559999734</v>
      </c>
      <c r="G53" s="3" cm="1">
        <f t="array" ref="G53">INDEX(LINEST(G26:G51,$AC26:$AC51^{1,2}),1,1)</f>
        <v>0.82700934797636017</v>
      </c>
      <c r="H53" s="3" cm="1">
        <f t="array" ref="H53">INDEX(LINEST(H26:H51,$AC26:$AC51^{1,2}),1,1)</f>
        <v>1.1847358102727725</v>
      </c>
      <c r="I53" s="3" cm="1">
        <f t="array" ref="I53">INDEX(LINEST(I26:I51,$AC26:$AC51^{1,2}),1,1)</f>
        <v>1.2450012751247559</v>
      </c>
      <c r="J53" s="3" cm="1">
        <f t="array" ref="J53">INDEX(LINEST(J26:J51,$AC26:$AC51^{1,2}),1,1)</f>
        <v>0.85112774937494162</v>
      </c>
      <c r="K53" s="3" cm="1">
        <f t="array" ref="K53">INDEX(LINEST(K26:K51,$AC26:$AC51^{1,2}),1,1)</f>
        <v>0.87265294262226711</v>
      </c>
      <c r="L53" s="3" cm="1">
        <f t="array" ref="L53">INDEX(LINEST(L26:L51,$AC26:$AC51^{1,2}),1,1)</f>
        <v>0.95941027496277187</v>
      </c>
      <c r="M53" s="3" cm="1">
        <f t="array" ref="M53">INDEX(LINEST(M26:M51,$AC26:$AC51^{1,2}),1,1)</f>
        <v>0.94189903403755781</v>
      </c>
      <c r="N53" s="3" cm="1">
        <f t="array" ref="N53">INDEX(LINEST(N26:N51,$AC26:$AC51^{1,2}),1,1)</f>
        <v>1.1582542825503672</v>
      </c>
      <c r="O53" s="3" cm="1">
        <f t="array" ref="O53">INDEX(LINEST(O26:O51,$AC26:$AC51^{1,2}),1,1)</f>
        <v>1.1694092287280549</v>
      </c>
      <c r="P53" s="3" cm="1">
        <f t="array" ref="P53">INDEX(LINEST(P26:P51,$AC26:$AC51^{1,2}),1,1)</f>
        <v>1.2549480868516336</v>
      </c>
      <c r="Q53" s="3" cm="1">
        <f t="array" ref="Q53">INDEX(LINEST(Q26:Q51,$AC26:$AC51^{1,2}),1,1)</f>
        <v>1.1245804014645966</v>
      </c>
      <c r="R53" s="3" cm="1">
        <f t="array" ref="R53">INDEX(LINEST(R26:R51,$AC26:$AC51^{1,2}),1,1)</f>
        <v>1.0561925559608298</v>
      </c>
      <c r="S53" s="3" cm="1">
        <f t="array" ref="S53">INDEX(LINEST(S26:S51,$AC26:$AC51^{1,2}),1,1)</f>
        <v>1.0766109117764595</v>
      </c>
      <c r="T53" s="3" cm="1">
        <f t="array" ref="T53">INDEX(LINEST(T26:T51,$AC26:$AC51^{1,2}),1,1)</f>
        <v>1.0961502262793761</v>
      </c>
      <c r="U53" s="3" cm="1">
        <f t="array" ref="U53">INDEX(LINEST(U26:U51,$AC26:$AC51^{1,2}),1,1)</f>
        <v>1.0078810301268781</v>
      </c>
      <c r="V53" s="3" cm="1">
        <f t="array" ref="V53">INDEX(LINEST(V26:V51,$AC26:$AC51^{1,2}),1,1)</f>
        <v>0.90270987705164718</v>
      </c>
      <c r="W53" s="3" cm="1">
        <f t="array" ref="W53">INDEX(LINEST(W26:W51,$AC26:$AC51^{1,2}),1,1)</f>
        <v>0.8176958555451026</v>
      </c>
      <c r="X53" s="3" cm="1">
        <f t="array" ref="X53">INDEX(LINEST(X26:X51,$AC26:$AC51^{1,2}),1,1)</f>
        <v>0.68439538559363811</v>
      </c>
      <c r="Y53" s="3" cm="1">
        <f t="array" ref="Y53">INDEX(LINEST(Y26:Y51,$AC26:$AC51^{1,2}),1,1)</f>
        <v>0.70478818770149576</v>
      </c>
      <c r="Z53" s="3" cm="1">
        <f t="array" ref="Z53">INDEX(LINEST(Z26:Z51,$AC26:$AC51^{1,2}),1,1)</f>
        <v>0.67185428214846254</v>
      </c>
    </row>
    <row r="56" spans="1:29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9" x14ac:dyDescent="0.35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9" x14ac:dyDescent="0.35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9" x14ac:dyDescent="0.35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9" x14ac:dyDescent="0.35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9" x14ac:dyDescent="0.35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9" x14ac:dyDescent="0.35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9" x14ac:dyDescent="0.3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9" x14ac:dyDescent="0.35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3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35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35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35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35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35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35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35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35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35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3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35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35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35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35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35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35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35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35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5" spans="1:26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5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35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35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35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35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35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35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35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35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3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35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35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35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35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35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35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35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35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35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3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35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35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35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35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35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35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35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</sheetData>
  <conditionalFormatting sqref="B26:Z51">
    <cfRule type="colorScale" priority="1">
      <colorScale>
        <cfvo type="num" val="-0.3"/>
        <cfvo type="num" val="0"/>
        <cfvo type="num" val="0.3"/>
        <color rgb="FFF8696B"/>
        <color rgb="FFF1F4F1"/>
        <color rgb="FF00B95C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Veselinovich</dc:creator>
  <cp:lastModifiedBy>Emil Veselinovich</cp:lastModifiedBy>
  <dcterms:created xsi:type="dcterms:W3CDTF">2026-10-12T17:55:40Z</dcterms:created>
  <dcterms:modified xsi:type="dcterms:W3CDTF">2026-10-25T17:06:45Z</dcterms:modified>
</cp:coreProperties>
</file>