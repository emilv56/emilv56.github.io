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di\Desktop\CV and Covering Letters\"/>
    </mc:Choice>
  </mc:AlternateContent>
  <xr:revisionPtr revIDLastSave="0" documentId="8_{E8CC8775-C4EE-4D1B-8AE0-E6362145864A}" xr6:coauthVersionLast="47" xr6:coauthVersionMax="47" xr10:uidLastSave="{00000000-0000-0000-0000-000000000000}"/>
  <bookViews>
    <workbookView xWindow="-108" yWindow="-108" windowWidth="23256" windowHeight="12576" tabRatio="724" activeTab="5" xr2:uid="{62E455AA-291E-4339-A20D-29B256667288}"/>
  </bookViews>
  <sheets>
    <sheet name="Income Statement" sheetId="53" r:id="rId1"/>
    <sheet name="Balance Sheet" sheetId="54" r:id="rId2"/>
    <sheet name="Cash Flow" sheetId="82" r:id="rId3"/>
    <sheet name="Revenue Model" sheetId="73" r:id="rId4"/>
    <sheet name="Cost Model" sheetId="86" r:id="rId5"/>
    <sheet name="DCF" sheetId="85" r:id="rId6"/>
    <sheet name="SIMULATION RESULTS" sheetId="87" r:id="rId7"/>
  </sheets>
  <definedNames>
    <definedName name="_xleta.AVERAGE" hidden="1" xlm="1">#NAME?</definedName>
    <definedName name="_xleta.MIN" hidden="1" xlm="1">#NAME?</definedName>
    <definedName name="anscount" hidden="1">1</definedName>
    <definedName name="BLPH1" localSheetId="4" hidden="1">#REF!</definedName>
    <definedName name="BLPH1" localSheetId="5" hidden="1">#REF!</definedName>
    <definedName name="BLPH1" localSheetId="0" hidden="1">#REF!</definedName>
    <definedName name="BLPH1" localSheetId="3" hidden="1">#REF!</definedName>
    <definedName name="BLPH1" hidden="1">#REF!</definedName>
    <definedName name="BLPH2" localSheetId="4" hidden="1">#REF!</definedName>
    <definedName name="BLPH2" localSheetId="5" hidden="1">#REF!</definedName>
    <definedName name="BLPH2" localSheetId="0" hidden="1">#REF!</definedName>
    <definedName name="BLPH2" localSheetId="3" hidden="1">#REF!</definedName>
    <definedName name="BLPH2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8" hidden="1">#REF!</definedName>
    <definedName name="BLPH9" hidden="1">#REF!</definedName>
    <definedName name="CIQWBGuid" hidden="1">"6d1b1cd0-1570-4d26-9f2e-b47258329543"</definedName>
    <definedName name="dddddddddddddddddddd" localSheetId="4" hidden="1">#REF!</definedName>
    <definedName name="dddddddddddddddddddd" localSheetId="5" hidden="1">#REF!</definedName>
    <definedName name="dddddddddddddddddddd" localSheetId="0" hidden="1">#REF!</definedName>
    <definedName name="dddddddddddddddddddd" localSheetId="3" hidden="1">#REF!</definedName>
    <definedName name="dddddddddddddddddddd" hidden="1">#REF!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MONTH" hidden="1">15000</definedName>
    <definedName name="IQ_NAMES_REVISION_DATE_" hidden="1">40227.2751157407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ShowHideColumns" hidden="1">"iQShowAll"</definedName>
    <definedName name="_xlnm.Print_Area" localSheetId="1">'Balance Sheet'!$A$1:$U$50</definedName>
    <definedName name="_xlnm.Print_Area" localSheetId="2">'Cash Flow'!$A$1:$U$43</definedName>
    <definedName name="_xlnm.Print_Area" localSheetId="5">DCF!$A$1:$N$56</definedName>
    <definedName name="_xlnm.Print_Area" localSheetId="0">'Income Statement'!$A$1:$U$43</definedName>
    <definedName name="_xlnm.Print_Area" localSheetId="6">'SIMULATION RESULTS'!$M$7:$Y$74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87" l="1"/>
  <c r="C1" i="87"/>
  <c r="D1" i="87"/>
  <c r="E1" i="87"/>
  <c r="F1" i="87"/>
  <c r="G1" i="87"/>
  <c r="H1" i="87"/>
  <c r="I1" i="87"/>
  <c r="J1" i="87"/>
  <c r="K1" i="87"/>
  <c r="L1" i="87"/>
  <c r="AB10" i="87" a="1"/>
  <c r="N6" i="73"/>
  <c r="O6" i="73"/>
  <c r="P6" i="73" s="1"/>
  <c r="Q6" i="73" s="1"/>
  <c r="R6" i="73" s="1"/>
  <c r="S6" i="73" s="1"/>
  <c r="T6" i="73" s="1"/>
  <c r="U6" i="73" s="1"/>
  <c r="M6" i="73"/>
  <c r="K6" i="73"/>
  <c r="L5" i="73"/>
  <c r="R2" i="87"/>
  <c r="P2" i="87"/>
  <c r="B28" i="85"/>
  <c r="B26" i="85"/>
  <c r="B25" i="85"/>
  <c r="B24" i="85"/>
  <c r="B18" i="85"/>
  <c r="D15" i="85"/>
  <c r="E15" i="85"/>
  <c r="F15" i="85"/>
  <c r="G15" i="85"/>
  <c r="H15" i="85"/>
  <c r="I15" i="85"/>
  <c r="J15" i="85"/>
  <c r="K15" i="85"/>
  <c r="L15" i="85"/>
  <c r="C15" i="85"/>
  <c r="C12" i="85"/>
  <c r="B12" i="85"/>
  <c r="C11" i="85"/>
  <c r="D11" i="85"/>
  <c r="E11" i="85"/>
  <c r="F11" i="85"/>
  <c r="G11" i="85"/>
  <c r="H11" i="85"/>
  <c r="I11" i="85"/>
  <c r="J11" i="85"/>
  <c r="K11" i="85"/>
  <c r="L11" i="85"/>
  <c r="M11" i="85"/>
  <c r="B11" i="85"/>
  <c r="C5" i="85"/>
  <c r="C6" i="85"/>
  <c r="C9" i="85" s="1"/>
  <c r="C7" i="85"/>
  <c r="C8" i="85"/>
  <c r="D8" i="85"/>
  <c r="B8" i="85"/>
  <c r="B7" i="85"/>
  <c r="B6" i="85"/>
  <c r="B5" i="85"/>
  <c r="L17" i="53"/>
  <c r="M17" i="53"/>
  <c r="N17" i="53"/>
  <c r="O17" i="53"/>
  <c r="P17" i="53"/>
  <c r="Q17" i="53"/>
  <c r="R17" i="53"/>
  <c r="S17" i="53"/>
  <c r="T17" i="53"/>
  <c r="U17" i="53"/>
  <c r="L18" i="53"/>
  <c r="L39" i="53" s="1"/>
  <c r="K18" i="53"/>
  <c r="K17" i="53"/>
  <c r="P3" i="86"/>
  <c r="Q3" i="86"/>
  <c r="R3" i="86"/>
  <c r="S3" i="86"/>
  <c r="T3" i="86"/>
  <c r="U3" i="86"/>
  <c r="P9" i="86"/>
  <c r="P10" i="86"/>
  <c r="Q10" i="86" s="1"/>
  <c r="R10" i="86" s="1"/>
  <c r="S10" i="86" s="1"/>
  <c r="T10" i="86" s="1"/>
  <c r="U10" i="86" s="1"/>
  <c r="P11" i="86"/>
  <c r="Q11" i="86" s="1"/>
  <c r="P12" i="86"/>
  <c r="Q12" i="86" s="1"/>
  <c r="R12" i="86" s="1"/>
  <c r="S12" i="86" s="1"/>
  <c r="T12" i="86" s="1"/>
  <c r="U12" i="86" s="1"/>
  <c r="P13" i="86"/>
  <c r="Q13" i="86" s="1"/>
  <c r="P3" i="73"/>
  <c r="Q3" i="73"/>
  <c r="R3" i="73"/>
  <c r="S3" i="73"/>
  <c r="T3" i="73"/>
  <c r="U3" i="73"/>
  <c r="P11" i="73"/>
  <c r="Q11" i="73"/>
  <c r="R11" i="73"/>
  <c r="S11" i="73"/>
  <c r="T11" i="73"/>
  <c r="U11" i="73"/>
  <c r="P13" i="73"/>
  <c r="P15" i="73"/>
  <c r="Q15" i="73"/>
  <c r="R15" i="73" s="1"/>
  <c r="P17" i="73"/>
  <c r="P30" i="73"/>
  <c r="Q30" i="73"/>
  <c r="R30" i="73"/>
  <c r="S30" i="73"/>
  <c r="T30" i="73"/>
  <c r="U30" i="73"/>
  <c r="P32" i="73"/>
  <c r="Q32" i="73" s="1"/>
  <c r="P36" i="73"/>
  <c r="Q36" i="73"/>
  <c r="R36" i="73" s="1"/>
  <c r="P49" i="73"/>
  <c r="Q49" i="73"/>
  <c r="R49" i="73"/>
  <c r="S49" i="73"/>
  <c r="T49" i="73"/>
  <c r="U49" i="73"/>
  <c r="P51" i="73"/>
  <c r="Q51" i="73" s="1"/>
  <c r="P53" i="73"/>
  <c r="P55" i="73"/>
  <c r="Q55" i="73" s="1"/>
  <c r="P3" i="82"/>
  <c r="Q3" i="82"/>
  <c r="R3" i="82"/>
  <c r="S3" i="82"/>
  <c r="T3" i="82"/>
  <c r="U3" i="82"/>
  <c r="P10" i="82"/>
  <c r="Q10" i="82"/>
  <c r="R10" i="82" s="1"/>
  <c r="P11" i="82"/>
  <c r="P14" i="82" s="1"/>
  <c r="Q11" i="82"/>
  <c r="Q14" i="82" s="1"/>
  <c r="P12" i="82"/>
  <c r="Q12" i="82"/>
  <c r="R12" i="82" s="1"/>
  <c r="S12" i="82" s="1"/>
  <c r="T12" i="82" s="1"/>
  <c r="U12" i="82" s="1"/>
  <c r="P13" i="82"/>
  <c r="Q13" i="82"/>
  <c r="R13" i="82" s="1"/>
  <c r="S13" i="82" s="1"/>
  <c r="T13" i="82" s="1"/>
  <c r="U13" i="82" s="1"/>
  <c r="P23" i="82"/>
  <c r="Q23" i="82"/>
  <c r="R23" i="82"/>
  <c r="S23" i="82"/>
  <c r="T23" i="82"/>
  <c r="U23" i="82"/>
  <c r="P3" i="54"/>
  <c r="Q3" i="54"/>
  <c r="R3" i="54"/>
  <c r="S3" i="54"/>
  <c r="T3" i="54"/>
  <c r="U3" i="54"/>
  <c r="P7" i="54"/>
  <c r="Q7" i="54"/>
  <c r="R7" i="54"/>
  <c r="S7" i="54" s="1"/>
  <c r="P8" i="54"/>
  <c r="Q8" i="54"/>
  <c r="R8" i="54" s="1"/>
  <c r="P9" i="54"/>
  <c r="Q9" i="54"/>
  <c r="R9" i="54"/>
  <c r="S9" i="54" s="1"/>
  <c r="T9" i="54" s="1"/>
  <c r="U9" i="54" s="1"/>
  <c r="P10" i="54"/>
  <c r="Q10" i="54"/>
  <c r="R10" i="54" s="1"/>
  <c r="S10" i="54" s="1"/>
  <c r="T10" i="54" s="1"/>
  <c r="U10" i="54" s="1"/>
  <c r="P13" i="54"/>
  <c r="Q13" i="54" s="1"/>
  <c r="R13" i="54" s="1"/>
  <c r="S13" i="54" s="1"/>
  <c r="T13" i="54" s="1"/>
  <c r="U13" i="54" s="1"/>
  <c r="P14" i="54"/>
  <c r="Q14" i="54"/>
  <c r="R14" i="54"/>
  <c r="S14" i="54" s="1"/>
  <c r="T14" i="54" s="1"/>
  <c r="U14" i="54" s="1"/>
  <c r="P15" i="54"/>
  <c r="Q15" i="54"/>
  <c r="P21" i="54"/>
  <c r="Q21" i="54"/>
  <c r="R21" i="54" s="1"/>
  <c r="S21" i="54" s="1"/>
  <c r="T21" i="54" s="1"/>
  <c r="U21" i="54" s="1"/>
  <c r="P22" i="54"/>
  <c r="Q22" i="54"/>
  <c r="R22" i="54" s="1"/>
  <c r="S22" i="54" s="1"/>
  <c r="T22" i="54" s="1"/>
  <c r="U22" i="54" s="1"/>
  <c r="P23" i="54"/>
  <c r="Q23" i="54"/>
  <c r="R23" i="54" s="1"/>
  <c r="S23" i="54" s="1"/>
  <c r="T23" i="54" s="1"/>
  <c r="U23" i="54" s="1"/>
  <c r="P25" i="54"/>
  <c r="Q25" i="54"/>
  <c r="R25" i="54" s="1"/>
  <c r="P26" i="54"/>
  <c r="Q26" i="54"/>
  <c r="R26" i="54" s="1"/>
  <c r="S26" i="54" s="1"/>
  <c r="T26" i="54" s="1"/>
  <c r="U26" i="54" s="1"/>
  <c r="P27" i="54"/>
  <c r="Q27" i="54"/>
  <c r="R27" i="54" s="1"/>
  <c r="S27" i="54" s="1"/>
  <c r="T27" i="54" s="1"/>
  <c r="U27" i="54" s="1"/>
  <c r="P28" i="54"/>
  <c r="Q28" i="54"/>
  <c r="R28" i="54" s="1"/>
  <c r="S28" i="54" s="1"/>
  <c r="T28" i="54" s="1"/>
  <c r="U28" i="54" s="1"/>
  <c r="P29" i="54"/>
  <c r="Q29" i="54"/>
  <c r="R29" i="54" s="1"/>
  <c r="S29" i="54" s="1"/>
  <c r="T29" i="54" s="1"/>
  <c r="U29" i="54" s="1"/>
  <c r="P30" i="54"/>
  <c r="P31" i="54" s="1"/>
  <c r="Q30" i="54"/>
  <c r="R30" i="54" s="1"/>
  <c r="Q31" i="54"/>
  <c r="P39" i="54"/>
  <c r="Q39" i="54"/>
  <c r="R39" i="54"/>
  <c r="S39" i="54"/>
  <c r="T39" i="54"/>
  <c r="U39" i="54"/>
  <c r="P44" i="54"/>
  <c r="Q44" i="54"/>
  <c r="Q45" i="54" s="1"/>
  <c r="Q47" i="54" s="1"/>
  <c r="P45" i="54"/>
  <c r="P47" i="54" s="1"/>
  <c r="P3" i="53"/>
  <c r="Q3" i="53"/>
  <c r="R3" i="53"/>
  <c r="S3" i="53"/>
  <c r="T3" i="53"/>
  <c r="U3" i="53"/>
  <c r="P9" i="53"/>
  <c r="P10" i="53"/>
  <c r="P11" i="53"/>
  <c r="P31" i="53"/>
  <c r="Q31" i="53"/>
  <c r="R31" i="53"/>
  <c r="S31" i="53" s="1"/>
  <c r="T31" i="53" s="1"/>
  <c r="U31" i="53" s="1"/>
  <c r="K3" i="85"/>
  <c r="L3" i="85"/>
  <c r="M3" i="85"/>
  <c r="C40" i="82"/>
  <c r="D40" i="82"/>
  <c r="E40" i="82"/>
  <c r="F40" i="82"/>
  <c r="G40" i="82"/>
  <c r="H40" i="82"/>
  <c r="I40" i="82"/>
  <c r="J40" i="82"/>
  <c r="C41" i="82"/>
  <c r="C42" i="82" s="1"/>
  <c r="D41" i="82"/>
  <c r="D42" i="82" s="1"/>
  <c r="E41" i="82"/>
  <c r="E42" i="82" s="1"/>
  <c r="F41" i="82"/>
  <c r="F42" i="82" s="1"/>
  <c r="G41" i="82"/>
  <c r="H41" i="82"/>
  <c r="I41" i="82"/>
  <c r="J41" i="82"/>
  <c r="G42" i="82"/>
  <c r="H42" i="82"/>
  <c r="I42" i="82"/>
  <c r="J42" i="82"/>
  <c r="B42" i="82"/>
  <c r="B41" i="82"/>
  <c r="B40" i="82"/>
  <c r="J34" i="54"/>
  <c r="K16" i="54"/>
  <c r="L15" i="54"/>
  <c r="M15" i="54" s="1"/>
  <c r="N15" i="54" s="1"/>
  <c r="O15" i="54" s="1"/>
  <c r="K15" i="54"/>
  <c r="K13" i="54"/>
  <c r="L13" i="54" s="1"/>
  <c r="L8" i="54"/>
  <c r="M8" i="54"/>
  <c r="N8" i="54" s="1"/>
  <c r="O8" i="54" s="1"/>
  <c r="L9" i="54"/>
  <c r="M9" i="54"/>
  <c r="N9" i="54"/>
  <c r="O9" i="54"/>
  <c r="K9" i="54"/>
  <c r="K8" i="54"/>
  <c r="C49" i="54"/>
  <c r="D49" i="54"/>
  <c r="E49" i="54"/>
  <c r="F49" i="54"/>
  <c r="G49" i="54"/>
  <c r="H49" i="54"/>
  <c r="I49" i="54"/>
  <c r="J49" i="54"/>
  <c r="B49" i="54"/>
  <c r="C47" i="54"/>
  <c r="D47" i="54"/>
  <c r="E47" i="54"/>
  <c r="F47" i="54"/>
  <c r="G47" i="54"/>
  <c r="H47" i="54"/>
  <c r="I47" i="54"/>
  <c r="J47" i="54"/>
  <c r="B47" i="54"/>
  <c r="C48" i="54"/>
  <c r="D48" i="54"/>
  <c r="E48" i="54"/>
  <c r="F48" i="54"/>
  <c r="G48" i="54"/>
  <c r="H48" i="54"/>
  <c r="I48" i="54"/>
  <c r="J48" i="54"/>
  <c r="B48" i="54"/>
  <c r="K21" i="54"/>
  <c r="L21" i="54" s="1"/>
  <c r="M21" i="54" s="1"/>
  <c r="N21" i="54" s="1"/>
  <c r="O21" i="54" s="1"/>
  <c r="L28" i="54"/>
  <c r="M28" i="54"/>
  <c r="N28" i="54" s="1"/>
  <c r="O28" i="54" s="1"/>
  <c r="L29" i="54"/>
  <c r="M29" i="54"/>
  <c r="N29" i="54" s="1"/>
  <c r="O29" i="54" s="1"/>
  <c r="K28" i="54"/>
  <c r="K29" i="54"/>
  <c r="K26" i="54"/>
  <c r="L26" i="54" s="1"/>
  <c r="M26" i="54" s="1"/>
  <c r="N26" i="54" s="1"/>
  <c r="O26" i="54" s="1"/>
  <c r="K27" i="54"/>
  <c r="L27" i="54" s="1"/>
  <c r="M27" i="54" s="1"/>
  <c r="N27" i="54" s="1"/>
  <c r="O27" i="54" s="1"/>
  <c r="K25" i="54"/>
  <c r="K44" i="54" s="1"/>
  <c r="K45" i="54" s="1"/>
  <c r="C46" i="54"/>
  <c r="D46" i="54"/>
  <c r="E46" i="54"/>
  <c r="F46" i="54"/>
  <c r="C45" i="54"/>
  <c r="D45" i="54"/>
  <c r="E45" i="54"/>
  <c r="F45" i="54"/>
  <c r="G45" i="54"/>
  <c r="G46" i="54" s="1"/>
  <c r="H45" i="54"/>
  <c r="H46" i="54" s="1"/>
  <c r="I45" i="54"/>
  <c r="I46" i="54" s="1"/>
  <c r="J45" i="54"/>
  <c r="J46" i="54" s="1"/>
  <c r="B45" i="54"/>
  <c r="B46" i="54" s="1"/>
  <c r="C44" i="54"/>
  <c r="D44" i="54"/>
  <c r="E44" i="54"/>
  <c r="F44" i="54"/>
  <c r="G44" i="54"/>
  <c r="H44" i="54"/>
  <c r="I44" i="54"/>
  <c r="J44" i="54"/>
  <c r="B44" i="54"/>
  <c r="L23" i="82"/>
  <c r="M23" i="82"/>
  <c r="N23" i="82"/>
  <c r="O23" i="82"/>
  <c r="K23" i="82"/>
  <c r="L12" i="82"/>
  <c r="M12" i="82" s="1"/>
  <c r="N12" i="82" s="1"/>
  <c r="O12" i="82" s="1"/>
  <c r="C17" i="82"/>
  <c r="D17" i="82"/>
  <c r="E17" i="82"/>
  <c r="F17" i="82"/>
  <c r="G17" i="82"/>
  <c r="H17" i="82"/>
  <c r="I17" i="82"/>
  <c r="J17" i="82"/>
  <c r="B17" i="82"/>
  <c r="C41" i="53"/>
  <c r="D41" i="53"/>
  <c r="E41" i="53"/>
  <c r="F41" i="53"/>
  <c r="G41" i="53"/>
  <c r="H41" i="53"/>
  <c r="I41" i="53"/>
  <c r="K37" i="53"/>
  <c r="B36" i="53"/>
  <c r="C36" i="53"/>
  <c r="D36" i="53"/>
  <c r="E36" i="53"/>
  <c r="F36" i="53"/>
  <c r="G36" i="53"/>
  <c r="H36" i="53"/>
  <c r="I36" i="53"/>
  <c r="B37" i="53"/>
  <c r="C37" i="53"/>
  <c r="C40" i="53" s="1"/>
  <c r="D37" i="53"/>
  <c r="E37" i="53"/>
  <c r="F37" i="53"/>
  <c r="G37" i="53"/>
  <c r="H37" i="53"/>
  <c r="I37" i="53"/>
  <c r="B38" i="53"/>
  <c r="C38" i="53"/>
  <c r="D38" i="53"/>
  <c r="E38" i="53"/>
  <c r="F38" i="53"/>
  <c r="F40" i="53" s="1"/>
  <c r="G38" i="53"/>
  <c r="H38" i="53"/>
  <c r="I38" i="53"/>
  <c r="I40" i="53" s="1"/>
  <c r="B39" i="53"/>
  <c r="C39" i="53"/>
  <c r="D39" i="53"/>
  <c r="D40" i="53" s="1"/>
  <c r="E39" i="53"/>
  <c r="F39" i="53"/>
  <c r="G39" i="53"/>
  <c r="G40" i="53" s="1"/>
  <c r="H39" i="53"/>
  <c r="I39" i="53"/>
  <c r="B40" i="53"/>
  <c r="E40" i="53"/>
  <c r="H40" i="53"/>
  <c r="J40" i="53"/>
  <c r="J39" i="53"/>
  <c r="J38" i="53"/>
  <c r="J37" i="53"/>
  <c r="K13" i="82"/>
  <c r="L13" i="82" s="1"/>
  <c r="M13" i="82" s="1"/>
  <c r="N13" i="82" s="1"/>
  <c r="O13" i="82" s="1"/>
  <c r="K11" i="82"/>
  <c r="K12" i="82"/>
  <c r="K10" i="82"/>
  <c r="L10" i="82" s="1"/>
  <c r="N12" i="86"/>
  <c r="O12" i="86" s="1"/>
  <c r="M12" i="86"/>
  <c r="N10" i="86"/>
  <c r="O10" i="86"/>
  <c r="M10" i="86"/>
  <c r="M9" i="86" s="1"/>
  <c r="L9" i="53"/>
  <c r="K11" i="53"/>
  <c r="K10" i="53"/>
  <c r="K9" i="53"/>
  <c r="K8" i="53"/>
  <c r="K8" i="82" s="1"/>
  <c r="K7" i="53"/>
  <c r="K15" i="86"/>
  <c r="K11" i="86"/>
  <c r="L11" i="86" s="1"/>
  <c r="M11" i="86" s="1"/>
  <c r="L9" i="86"/>
  <c r="K9" i="86"/>
  <c r="K7" i="86"/>
  <c r="K5" i="86"/>
  <c r="K6" i="86"/>
  <c r="L13" i="86"/>
  <c r="M13" i="86" s="1"/>
  <c r="N13" i="86" s="1"/>
  <c r="O13" i="86" s="1"/>
  <c r="O11" i="53" s="1"/>
  <c r="C12" i="86"/>
  <c r="C10" i="86"/>
  <c r="J12" i="86"/>
  <c r="I12" i="86"/>
  <c r="H12" i="86"/>
  <c r="G12" i="86"/>
  <c r="F12" i="86"/>
  <c r="E12" i="86"/>
  <c r="D12" i="86"/>
  <c r="J8" i="86"/>
  <c r="I8" i="86"/>
  <c r="H8" i="86"/>
  <c r="G8" i="86"/>
  <c r="F8" i="86"/>
  <c r="E8" i="86"/>
  <c r="D8" i="86"/>
  <c r="C8" i="86"/>
  <c r="B8" i="86"/>
  <c r="C6" i="86"/>
  <c r="D6" i="86"/>
  <c r="E6" i="86"/>
  <c r="F6" i="86"/>
  <c r="G6" i="86"/>
  <c r="H6" i="86"/>
  <c r="I6" i="86"/>
  <c r="J6" i="86"/>
  <c r="B6" i="86"/>
  <c r="J10" i="86"/>
  <c r="I10" i="86"/>
  <c r="H10" i="86"/>
  <c r="G10" i="86"/>
  <c r="F10" i="86"/>
  <c r="E10" i="86"/>
  <c r="D10" i="86"/>
  <c r="O3" i="86"/>
  <c r="N3" i="86"/>
  <c r="M3" i="86"/>
  <c r="L3" i="86"/>
  <c r="K3" i="86"/>
  <c r="J3" i="86"/>
  <c r="I3" i="86"/>
  <c r="H3" i="86"/>
  <c r="G3" i="86"/>
  <c r="F3" i="86"/>
  <c r="E3" i="86"/>
  <c r="D3" i="86"/>
  <c r="C3" i="86"/>
  <c r="B3" i="86"/>
  <c r="J3" i="85"/>
  <c r="I3" i="85"/>
  <c r="H3" i="85"/>
  <c r="G3" i="85"/>
  <c r="F3" i="85"/>
  <c r="E3" i="85"/>
  <c r="D3" i="85"/>
  <c r="C3" i="85"/>
  <c r="B3" i="85"/>
  <c r="K5" i="53"/>
  <c r="K71" i="73"/>
  <c r="K69" i="73"/>
  <c r="C68" i="73"/>
  <c r="D68" i="73"/>
  <c r="E68" i="73"/>
  <c r="F68" i="73"/>
  <c r="G68" i="73"/>
  <c r="H68" i="73"/>
  <c r="I68" i="73"/>
  <c r="J68" i="73"/>
  <c r="K68" i="73"/>
  <c r="B68" i="73"/>
  <c r="C71" i="73"/>
  <c r="C69" i="73" s="1"/>
  <c r="C70" i="73" s="1"/>
  <c r="D71" i="73"/>
  <c r="D69" i="73" s="1"/>
  <c r="D70" i="73" s="1"/>
  <c r="E71" i="73"/>
  <c r="E69" i="73" s="1"/>
  <c r="E70" i="73" s="1"/>
  <c r="F71" i="73"/>
  <c r="F69" i="73" s="1"/>
  <c r="F70" i="73" s="1"/>
  <c r="G71" i="73"/>
  <c r="G69" i="73" s="1"/>
  <c r="G70" i="73" s="1"/>
  <c r="H71" i="73"/>
  <c r="H69" i="73" s="1"/>
  <c r="H70" i="73" s="1"/>
  <c r="I71" i="73"/>
  <c r="I69" i="73" s="1"/>
  <c r="I70" i="73" s="1"/>
  <c r="J71" i="73"/>
  <c r="J69" i="73" s="1"/>
  <c r="J70" i="73" s="1"/>
  <c r="B71" i="73"/>
  <c r="B69" i="73" s="1"/>
  <c r="B70" i="73" s="1"/>
  <c r="L53" i="73"/>
  <c r="K54" i="73"/>
  <c r="J54" i="73"/>
  <c r="I54" i="73"/>
  <c r="H54" i="73"/>
  <c r="G54" i="73"/>
  <c r="F54" i="73"/>
  <c r="E54" i="73"/>
  <c r="D54" i="73"/>
  <c r="C54" i="73"/>
  <c r="K66" i="73"/>
  <c r="J66" i="73"/>
  <c r="I66" i="73"/>
  <c r="H66" i="73"/>
  <c r="G66" i="73"/>
  <c r="F66" i="73"/>
  <c r="E66" i="73"/>
  <c r="D66" i="73"/>
  <c r="C66" i="73"/>
  <c r="K61" i="73"/>
  <c r="J61" i="73"/>
  <c r="I61" i="73"/>
  <c r="H61" i="73"/>
  <c r="G61" i="73"/>
  <c r="F61" i="73"/>
  <c r="E61" i="73"/>
  <c r="D61" i="73"/>
  <c r="C61" i="73"/>
  <c r="B61" i="73"/>
  <c r="K60" i="73"/>
  <c r="K62" i="73" s="1"/>
  <c r="J60" i="73"/>
  <c r="I60" i="73"/>
  <c r="H60" i="73"/>
  <c r="G60" i="73"/>
  <c r="F60" i="73"/>
  <c r="E60" i="73"/>
  <c r="D60" i="73"/>
  <c r="C60" i="73"/>
  <c r="B60" i="73"/>
  <c r="K59" i="73"/>
  <c r="J59" i="73"/>
  <c r="I59" i="73"/>
  <c r="H59" i="73"/>
  <c r="G59" i="73"/>
  <c r="F59" i="73"/>
  <c r="E59" i="73"/>
  <c r="D59" i="73"/>
  <c r="D62" i="73" s="1"/>
  <c r="D63" i="73" s="1"/>
  <c r="C59" i="73"/>
  <c r="B59" i="73"/>
  <c r="L55" i="73"/>
  <c r="K52" i="73"/>
  <c r="J52" i="73"/>
  <c r="I52" i="73"/>
  <c r="H52" i="73"/>
  <c r="G52" i="73"/>
  <c r="F52" i="73"/>
  <c r="E52" i="73"/>
  <c r="D52" i="73"/>
  <c r="C52" i="73"/>
  <c r="L51" i="73"/>
  <c r="O49" i="73"/>
  <c r="N49" i="73"/>
  <c r="M49" i="73"/>
  <c r="L49" i="73"/>
  <c r="K49" i="73"/>
  <c r="J49" i="73"/>
  <c r="I49" i="73"/>
  <c r="H49" i="73"/>
  <c r="G49" i="73"/>
  <c r="F49" i="73"/>
  <c r="E49" i="73"/>
  <c r="D49" i="73"/>
  <c r="C49" i="73"/>
  <c r="B49" i="73"/>
  <c r="C42" i="73"/>
  <c r="D42" i="73"/>
  <c r="E42" i="73"/>
  <c r="F42" i="73"/>
  <c r="G42" i="73"/>
  <c r="H42" i="73"/>
  <c r="I42" i="73"/>
  <c r="J42" i="73"/>
  <c r="K42" i="73"/>
  <c r="B42" i="73"/>
  <c r="C41" i="73"/>
  <c r="D41" i="73"/>
  <c r="E41" i="73"/>
  <c r="F41" i="73"/>
  <c r="G41" i="73"/>
  <c r="H41" i="73"/>
  <c r="I41" i="73"/>
  <c r="J41" i="73"/>
  <c r="K41" i="73"/>
  <c r="B41" i="73"/>
  <c r="C40" i="73"/>
  <c r="D40" i="73"/>
  <c r="E40" i="73"/>
  <c r="F40" i="73"/>
  <c r="G40" i="73"/>
  <c r="H40" i="73"/>
  <c r="I40" i="73"/>
  <c r="J40" i="73"/>
  <c r="K40" i="73"/>
  <c r="B40" i="73"/>
  <c r="C30" i="73"/>
  <c r="D30" i="73"/>
  <c r="E30" i="73"/>
  <c r="F30" i="73"/>
  <c r="G30" i="73"/>
  <c r="H30" i="73"/>
  <c r="I30" i="73"/>
  <c r="J30" i="73"/>
  <c r="K30" i="73"/>
  <c r="L30" i="73"/>
  <c r="M30" i="73"/>
  <c r="N30" i="73"/>
  <c r="O30" i="73"/>
  <c r="B30" i="73"/>
  <c r="K47" i="73"/>
  <c r="J47" i="73"/>
  <c r="I47" i="73"/>
  <c r="H47" i="73"/>
  <c r="G47" i="73"/>
  <c r="F47" i="73"/>
  <c r="E47" i="73"/>
  <c r="D47" i="73"/>
  <c r="C47" i="73"/>
  <c r="K37" i="73"/>
  <c r="J37" i="73"/>
  <c r="I37" i="73"/>
  <c r="H37" i="73"/>
  <c r="G37" i="73"/>
  <c r="F37" i="73"/>
  <c r="E37" i="73"/>
  <c r="D37" i="73"/>
  <c r="K33" i="73"/>
  <c r="J33" i="73"/>
  <c r="I33" i="73"/>
  <c r="H33" i="73"/>
  <c r="G33" i="73"/>
  <c r="F33" i="73"/>
  <c r="E33" i="73"/>
  <c r="D33" i="73"/>
  <c r="C33" i="73"/>
  <c r="L32" i="73"/>
  <c r="C23" i="73"/>
  <c r="D23" i="73"/>
  <c r="E23" i="73"/>
  <c r="F23" i="73"/>
  <c r="G23" i="73"/>
  <c r="H23" i="73"/>
  <c r="I23" i="73"/>
  <c r="J23" i="73"/>
  <c r="B23" i="73"/>
  <c r="C22" i="73"/>
  <c r="D22" i="73"/>
  <c r="E22" i="73"/>
  <c r="F22" i="73"/>
  <c r="G22" i="73"/>
  <c r="H22" i="73"/>
  <c r="I22" i="73"/>
  <c r="J22" i="73"/>
  <c r="B22" i="73"/>
  <c r="L13" i="73"/>
  <c r="K17" i="73"/>
  <c r="K23" i="73" s="1"/>
  <c r="K15" i="73"/>
  <c r="L15" i="73" s="1"/>
  <c r="M15" i="73" s="1"/>
  <c r="C21" i="73"/>
  <c r="D21" i="73"/>
  <c r="E21" i="73"/>
  <c r="F21" i="73"/>
  <c r="G21" i="73"/>
  <c r="H21" i="73"/>
  <c r="I21" i="73"/>
  <c r="J21" i="73"/>
  <c r="K21" i="73"/>
  <c r="B21" i="73"/>
  <c r="C3" i="73"/>
  <c r="D3" i="73"/>
  <c r="E3" i="73"/>
  <c r="F3" i="73"/>
  <c r="G3" i="73"/>
  <c r="H3" i="73"/>
  <c r="I3" i="73"/>
  <c r="J3" i="73"/>
  <c r="K3" i="73"/>
  <c r="L3" i="73"/>
  <c r="M3" i="73"/>
  <c r="N3" i="73"/>
  <c r="O3" i="73"/>
  <c r="B3" i="73"/>
  <c r="J10" i="73"/>
  <c r="I10" i="73"/>
  <c r="H10" i="73"/>
  <c r="G10" i="73"/>
  <c r="F10" i="73"/>
  <c r="E10" i="73"/>
  <c r="D10" i="73"/>
  <c r="J8" i="73"/>
  <c r="I8" i="73"/>
  <c r="H8" i="73"/>
  <c r="G8" i="73"/>
  <c r="F8" i="73"/>
  <c r="E8" i="73"/>
  <c r="D8" i="73"/>
  <c r="J6" i="73"/>
  <c r="I6" i="73"/>
  <c r="H6" i="73"/>
  <c r="G6" i="73"/>
  <c r="F6" i="73"/>
  <c r="E6" i="73"/>
  <c r="D6" i="73"/>
  <c r="C6" i="73"/>
  <c r="M5" i="73" l="1"/>
  <c r="L8" i="73"/>
  <c r="L10" i="73" s="1"/>
  <c r="L6" i="86"/>
  <c r="B9" i="85"/>
  <c r="Q9" i="86"/>
  <c r="R11" i="86"/>
  <c r="Q10" i="53"/>
  <c r="R13" i="86"/>
  <c r="Q11" i="53"/>
  <c r="R32" i="73"/>
  <c r="S36" i="73"/>
  <c r="R51" i="73"/>
  <c r="R55" i="73"/>
  <c r="S15" i="73"/>
  <c r="Q53" i="73"/>
  <c r="Q17" i="73"/>
  <c r="Q13" i="73"/>
  <c r="R14" i="82"/>
  <c r="S10" i="82"/>
  <c r="Q16" i="54"/>
  <c r="P16" i="54"/>
  <c r="R11" i="82"/>
  <c r="S11" i="82" s="1"/>
  <c r="T11" i="82" s="1"/>
  <c r="U11" i="82" s="1"/>
  <c r="S8" i="54"/>
  <c r="T8" i="54" s="1"/>
  <c r="U8" i="54" s="1"/>
  <c r="R44" i="54"/>
  <c r="S25" i="54"/>
  <c r="T7" i="54"/>
  <c r="U7" i="54" s="1"/>
  <c r="S30" i="54"/>
  <c r="R31" i="54"/>
  <c r="R15" i="54"/>
  <c r="M13" i="54"/>
  <c r="L16" i="54"/>
  <c r="M10" i="82"/>
  <c r="K14" i="82"/>
  <c r="L11" i="82"/>
  <c r="M11" i="82" s="1"/>
  <c r="N11" i="82" s="1"/>
  <c r="O11" i="82" s="1"/>
  <c r="L25" i="54"/>
  <c r="J41" i="53"/>
  <c r="K13" i="53"/>
  <c r="N11" i="53"/>
  <c r="M11" i="53"/>
  <c r="L11" i="53"/>
  <c r="N11" i="86"/>
  <c r="O11" i="86" s="1"/>
  <c r="O10" i="53" s="1"/>
  <c r="N10" i="53"/>
  <c r="M10" i="53"/>
  <c r="L10" i="53"/>
  <c r="M9" i="53"/>
  <c r="N9" i="86"/>
  <c r="N9" i="53" s="1"/>
  <c r="L40" i="73"/>
  <c r="L59" i="73"/>
  <c r="G62" i="73"/>
  <c r="G63" i="73" s="1"/>
  <c r="H62" i="73"/>
  <c r="H63" i="73" s="1"/>
  <c r="M53" i="73"/>
  <c r="K63" i="73"/>
  <c r="M55" i="73"/>
  <c r="B62" i="73"/>
  <c r="B63" i="73" s="1"/>
  <c r="F62" i="73"/>
  <c r="F63" i="73" s="1"/>
  <c r="C62" i="73"/>
  <c r="C63" i="73" s="1"/>
  <c r="E62" i="73"/>
  <c r="E63" i="73" s="1"/>
  <c r="I62" i="73"/>
  <c r="I63" i="73" s="1"/>
  <c r="J62" i="73"/>
  <c r="J63" i="73" s="1"/>
  <c r="M51" i="73"/>
  <c r="D43" i="73"/>
  <c r="D44" i="73" s="1"/>
  <c r="B24" i="73"/>
  <c r="B25" i="73" s="1"/>
  <c r="B43" i="73" s="1"/>
  <c r="B44" i="73" s="1"/>
  <c r="L36" i="73"/>
  <c r="G24" i="73"/>
  <c r="G25" i="73" s="1"/>
  <c r="G43" i="73" s="1"/>
  <c r="G44" i="73" s="1"/>
  <c r="M32" i="73"/>
  <c r="E24" i="73"/>
  <c r="E25" i="73" s="1"/>
  <c r="E43" i="73" s="1"/>
  <c r="E44" i="73" s="1"/>
  <c r="D24" i="73"/>
  <c r="D25" i="73" s="1"/>
  <c r="C24" i="73"/>
  <c r="C25" i="73" s="1"/>
  <c r="C43" i="73" s="1"/>
  <c r="C44" i="73" s="1"/>
  <c r="K22" i="73"/>
  <c r="J24" i="73"/>
  <c r="J25" i="73" s="1"/>
  <c r="J43" i="73" s="1"/>
  <c r="J44" i="73" s="1"/>
  <c r="N15" i="73"/>
  <c r="O15" i="73" s="1"/>
  <c r="F24" i="73"/>
  <c r="F25" i="73" s="1"/>
  <c r="F43" i="73" s="1"/>
  <c r="F44" i="73" s="1"/>
  <c r="H24" i="73"/>
  <c r="H25" i="73" s="1"/>
  <c r="H43" i="73" s="1"/>
  <c r="H44" i="73" s="1"/>
  <c r="L17" i="73"/>
  <c r="M17" i="73" s="1"/>
  <c r="N17" i="73" s="1"/>
  <c r="O17" i="73" s="1"/>
  <c r="I24" i="73"/>
  <c r="I25" i="73" s="1"/>
  <c r="I43" i="73" s="1"/>
  <c r="I44" i="73" s="1"/>
  <c r="L21" i="73"/>
  <c r="M13" i="73"/>
  <c r="N5" i="73" l="1"/>
  <c r="M21" i="73"/>
  <c r="M40" i="73"/>
  <c r="M6" i="86"/>
  <c r="M8" i="73"/>
  <c r="N8" i="73" s="1"/>
  <c r="O8" i="73" s="1"/>
  <c r="P8" i="73" s="1"/>
  <c r="Q8" i="73" s="1"/>
  <c r="R8" i="73" s="1"/>
  <c r="S8" i="73" s="1"/>
  <c r="T8" i="73" s="1"/>
  <c r="U8" i="73" s="1"/>
  <c r="L7" i="73"/>
  <c r="M10" i="73"/>
  <c r="N10" i="73" s="1"/>
  <c r="O10" i="73" s="1"/>
  <c r="P10" i="73" s="1"/>
  <c r="Q10" i="73" s="1"/>
  <c r="R10" i="73" s="1"/>
  <c r="S10" i="73" s="1"/>
  <c r="T10" i="73" s="1"/>
  <c r="U10" i="73" s="1"/>
  <c r="L9" i="73"/>
  <c r="L23" i="73" s="1"/>
  <c r="R9" i="86"/>
  <c r="Q9" i="53"/>
  <c r="S11" i="86"/>
  <c r="R10" i="53"/>
  <c r="S13" i="86"/>
  <c r="R11" i="53"/>
  <c r="S55" i="73"/>
  <c r="S51" i="73"/>
  <c r="R17" i="73"/>
  <c r="T36" i="73"/>
  <c r="T15" i="73"/>
  <c r="R13" i="73"/>
  <c r="R53" i="73"/>
  <c r="S32" i="73"/>
  <c r="S14" i="82"/>
  <c r="T10" i="82"/>
  <c r="T25" i="54"/>
  <c r="S44" i="54"/>
  <c r="R16" i="54"/>
  <c r="S15" i="54"/>
  <c r="T30" i="54"/>
  <c r="S31" i="54"/>
  <c r="R45" i="54"/>
  <c r="R47" i="54" s="1"/>
  <c r="L14" i="82"/>
  <c r="N10" i="82"/>
  <c r="M14" i="82"/>
  <c r="N13" i="54"/>
  <c r="M16" i="54"/>
  <c r="M25" i="54"/>
  <c r="L44" i="54"/>
  <c r="L45" i="54" s="1"/>
  <c r="O9" i="86"/>
  <c r="N53" i="73"/>
  <c r="O53" i="73" s="1"/>
  <c r="N55" i="73"/>
  <c r="O55" i="73" s="1"/>
  <c r="N51" i="73"/>
  <c r="M59" i="73"/>
  <c r="M36" i="73"/>
  <c r="N32" i="73"/>
  <c r="N13" i="73"/>
  <c r="N21" i="73" l="1"/>
  <c r="N40" i="73"/>
  <c r="N6" i="86"/>
  <c r="O5" i="73"/>
  <c r="L22" i="73"/>
  <c r="L24" i="73" s="1"/>
  <c r="L27" i="73" s="1"/>
  <c r="L60" i="73"/>
  <c r="M7" i="73"/>
  <c r="L41" i="73"/>
  <c r="M9" i="73"/>
  <c r="M42" i="73" s="1"/>
  <c r="L61" i="73"/>
  <c r="L42" i="73"/>
  <c r="T13" i="86"/>
  <c r="S11" i="53"/>
  <c r="S10" i="53"/>
  <c r="T11" i="86"/>
  <c r="S9" i="86"/>
  <c r="R9" i="53"/>
  <c r="T55" i="73"/>
  <c r="S53" i="73"/>
  <c r="U15" i="73"/>
  <c r="S17" i="73"/>
  <c r="T32" i="73"/>
  <c r="U36" i="73"/>
  <c r="S13" i="73"/>
  <c r="T51" i="73"/>
  <c r="T14" i="82"/>
  <c r="U10" i="82"/>
  <c r="U14" i="82" s="1"/>
  <c r="T31" i="54"/>
  <c r="U30" i="54"/>
  <c r="U31" i="54" s="1"/>
  <c r="S16" i="54"/>
  <c r="T15" i="54"/>
  <c r="S45" i="54"/>
  <c r="S47" i="54"/>
  <c r="T44" i="54"/>
  <c r="U25" i="54"/>
  <c r="U44" i="54" s="1"/>
  <c r="O13" i="54"/>
  <c r="O16" i="54" s="1"/>
  <c r="N16" i="54"/>
  <c r="O10" i="82"/>
  <c r="O14" i="82" s="1"/>
  <c r="N14" i="82"/>
  <c r="M44" i="54"/>
  <c r="M45" i="54" s="1"/>
  <c r="N25" i="54"/>
  <c r="O9" i="53"/>
  <c r="O51" i="73"/>
  <c r="N59" i="73"/>
  <c r="O32" i="73"/>
  <c r="N36" i="73"/>
  <c r="O13" i="73"/>
  <c r="L43" i="73" l="1"/>
  <c r="L46" i="73" s="1"/>
  <c r="L47" i="73" s="1"/>
  <c r="O59" i="73"/>
  <c r="O6" i="86"/>
  <c r="P5" i="73"/>
  <c r="O21" i="73"/>
  <c r="O40" i="73"/>
  <c r="N7" i="73"/>
  <c r="M22" i="73"/>
  <c r="M41" i="73"/>
  <c r="M43" i="73" s="1"/>
  <c r="M46" i="73" s="1"/>
  <c r="M60" i="73"/>
  <c r="L62" i="73"/>
  <c r="L65" i="73" s="1"/>
  <c r="N9" i="73"/>
  <c r="M61" i="73"/>
  <c r="M23" i="73"/>
  <c r="U13" i="86"/>
  <c r="T11" i="53"/>
  <c r="T9" i="86"/>
  <c r="S9" i="53"/>
  <c r="T10" i="53"/>
  <c r="U11" i="86"/>
  <c r="U10" i="53" s="1"/>
  <c r="U51" i="73"/>
  <c r="T17" i="73"/>
  <c r="U55" i="73"/>
  <c r="U32" i="73"/>
  <c r="T13" i="73"/>
  <c r="T53" i="73"/>
  <c r="U45" i="54"/>
  <c r="U47" i="54" s="1"/>
  <c r="T45" i="54"/>
  <c r="T47" i="54" s="1"/>
  <c r="T16" i="54"/>
  <c r="U15" i="54"/>
  <c r="O25" i="54"/>
  <c r="O44" i="54" s="1"/>
  <c r="O45" i="54" s="1"/>
  <c r="N44" i="54"/>
  <c r="N45" i="54" s="1"/>
  <c r="O36" i="73"/>
  <c r="M47" i="73" l="1"/>
  <c r="M62" i="73"/>
  <c r="M65" i="73" s="1"/>
  <c r="M66" i="73" s="1"/>
  <c r="M24" i="73"/>
  <c r="M27" i="73" s="1"/>
  <c r="P40" i="73"/>
  <c r="P59" i="73"/>
  <c r="P6" i="86"/>
  <c r="P21" i="73"/>
  <c r="Q5" i="73"/>
  <c r="O7" i="73"/>
  <c r="N41" i="73"/>
  <c r="N22" i="73"/>
  <c r="N60" i="73"/>
  <c r="L66" i="73"/>
  <c r="L68" i="73"/>
  <c r="L69" i="73" s="1"/>
  <c r="L71" i="73" s="1"/>
  <c r="L7" i="86" s="1"/>
  <c r="O9" i="73"/>
  <c r="N61" i="73"/>
  <c r="N23" i="73"/>
  <c r="N42" i="73"/>
  <c r="U11" i="53"/>
  <c r="U9" i="86"/>
  <c r="U9" i="53" s="1"/>
  <c r="T9" i="53"/>
  <c r="U13" i="73"/>
  <c r="U17" i="73"/>
  <c r="U53" i="73"/>
  <c r="U16" i="54"/>
  <c r="M68" i="73" l="1"/>
  <c r="M69" i="73" s="1"/>
  <c r="M71" i="73" s="1"/>
  <c r="M5" i="86" s="1"/>
  <c r="M7" i="53" s="1"/>
  <c r="L5" i="53"/>
  <c r="Q40" i="73"/>
  <c r="Q21" i="73"/>
  <c r="Q59" i="73"/>
  <c r="Q6" i="86"/>
  <c r="R5" i="73"/>
  <c r="L5" i="86"/>
  <c r="L7" i="53" s="1"/>
  <c r="N43" i="73"/>
  <c r="N46" i="73" s="1"/>
  <c r="N47" i="73" s="1"/>
  <c r="N24" i="73"/>
  <c r="N27" i="73" s="1"/>
  <c r="N62" i="73"/>
  <c r="N65" i="73" s="1"/>
  <c r="N66" i="73" s="1"/>
  <c r="O22" i="73"/>
  <c r="P7" i="73"/>
  <c r="O41" i="73"/>
  <c r="O60" i="73"/>
  <c r="P9" i="73"/>
  <c r="O23" i="73"/>
  <c r="O61" i="73"/>
  <c r="O42" i="73"/>
  <c r="L8" i="53"/>
  <c r="L15" i="86" l="1"/>
  <c r="L16" i="86" s="1"/>
  <c r="O43" i="73"/>
  <c r="O46" i="73" s="1"/>
  <c r="O47" i="73" s="1"/>
  <c r="L13" i="53"/>
  <c r="M7" i="86"/>
  <c r="M15" i="86" s="1"/>
  <c r="M5" i="53"/>
  <c r="N68" i="73"/>
  <c r="N69" i="73" s="1"/>
  <c r="N71" i="73" s="1"/>
  <c r="N7" i="86" s="1"/>
  <c r="R40" i="73"/>
  <c r="R59" i="73"/>
  <c r="R6" i="86"/>
  <c r="S5" i="73"/>
  <c r="R21" i="73"/>
  <c r="O24" i="73"/>
  <c r="O27" i="73" s="1"/>
  <c r="P60" i="73"/>
  <c r="Q7" i="73"/>
  <c r="P41" i="73"/>
  <c r="P22" i="73"/>
  <c r="O62" i="73"/>
  <c r="O65" i="73" s="1"/>
  <c r="Q9" i="73"/>
  <c r="P61" i="73"/>
  <c r="P42" i="73"/>
  <c r="P23" i="73"/>
  <c r="L8" i="82"/>
  <c r="D6" i="85"/>
  <c r="L37" i="53"/>
  <c r="M16" i="86" l="1"/>
  <c r="M8" i="53"/>
  <c r="E6" i="85" s="1"/>
  <c r="P24" i="73"/>
  <c r="P27" i="73" s="1"/>
  <c r="P28" i="73" s="1"/>
  <c r="N5" i="86"/>
  <c r="N7" i="53" s="1"/>
  <c r="N5" i="53"/>
  <c r="S59" i="73"/>
  <c r="T5" i="73"/>
  <c r="S40" i="73"/>
  <c r="S21" i="73"/>
  <c r="S6" i="86"/>
  <c r="P43" i="73"/>
  <c r="P46" i="73" s="1"/>
  <c r="P47" i="73" s="1"/>
  <c r="P62" i="73"/>
  <c r="P65" i="73" s="1"/>
  <c r="Q22" i="73"/>
  <c r="Q60" i="73"/>
  <c r="Q41" i="73"/>
  <c r="R7" i="73"/>
  <c r="O66" i="73"/>
  <c r="O68" i="73"/>
  <c r="O69" i="73" s="1"/>
  <c r="O71" i="73" s="1"/>
  <c r="O7" i="86" s="1"/>
  <c r="Q61" i="73"/>
  <c r="Q42" i="73"/>
  <c r="Q23" i="73"/>
  <c r="R9" i="73"/>
  <c r="N8" i="53"/>
  <c r="M37" i="53" l="1"/>
  <c r="M13" i="53"/>
  <c r="M8" i="82"/>
  <c r="P68" i="73"/>
  <c r="P69" i="73" s="1"/>
  <c r="P71" i="73" s="1"/>
  <c r="P5" i="86" s="1"/>
  <c r="P7" i="53" s="1"/>
  <c r="O5" i="86"/>
  <c r="O7" i="53" s="1"/>
  <c r="N15" i="86"/>
  <c r="N16" i="86" s="1"/>
  <c r="P66" i="73"/>
  <c r="N13" i="53"/>
  <c r="Q43" i="73"/>
  <c r="Q46" i="73" s="1"/>
  <c r="Q47" i="73" s="1"/>
  <c r="T21" i="73"/>
  <c r="T40" i="73"/>
  <c r="T6" i="86"/>
  <c r="T59" i="73"/>
  <c r="U5" i="73"/>
  <c r="Q24" i="73"/>
  <c r="Q27" i="73" s="1"/>
  <c r="Q28" i="73" s="1"/>
  <c r="S7" i="73"/>
  <c r="R22" i="73"/>
  <c r="R41" i="73"/>
  <c r="R60" i="73"/>
  <c r="O5" i="53"/>
  <c r="Q62" i="73"/>
  <c r="Q65" i="73" s="1"/>
  <c r="R23" i="73"/>
  <c r="R61" i="73"/>
  <c r="R42" i="73"/>
  <c r="S9" i="73"/>
  <c r="O8" i="53"/>
  <c r="N8" i="82"/>
  <c r="F6" i="85"/>
  <c r="N37" i="53"/>
  <c r="O13" i="53" l="1"/>
  <c r="P7" i="86"/>
  <c r="P15" i="86" s="1"/>
  <c r="P5" i="53"/>
  <c r="O15" i="86"/>
  <c r="O16" i="86" s="1"/>
  <c r="R43" i="73"/>
  <c r="R46" i="73" s="1"/>
  <c r="R47" i="73" s="1"/>
  <c r="U21" i="73"/>
  <c r="U6" i="86"/>
  <c r="U40" i="73"/>
  <c r="U59" i="73"/>
  <c r="R62" i="73"/>
  <c r="R65" i="73" s="1"/>
  <c r="R66" i="73" s="1"/>
  <c r="R24" i="73"/>
  <c r="R27" i="73" s="1"/>
  <c r="R28" i="73" s="1"/>
  <c r="S41" i="73"/>
  <c r="S60" i="73"/>
  <c r="S22" i="73"/>
  <c r="T7" i="73"/>
  <c r="Q66" i="73"/>
  <c r="Q68" i="73"/>
  <c r="Q69" i="73" s="1"/>
  <c r="Q71" i="73" s="1"/>
  <c r="S61" i="73"/>
  <c r="S23" i="73"/>
  <c r="T9" i="73"/>
  <c r="S42" i="73"/>
  <c r="O8" i="82"/>
  <c r="G6" i="85"/>
  <c r="O37" i="53"/>
  <c r="P8" i="53" l="1"/>
  <c r="P37" i="53" s="1"/>
  <c r="P16" i="86"/>
  <c r="R68" i="73"/>
  <c r="R69" i="73" s="1"/>
  <c r="R71" i="73" s="1"/>
  <c r="R5" i="86" s="1"/>
  <c r="R7" i="53" s="1"/>
  <c r="S24" i="73"/>
  <c r="S27" i="73" s="1"/>
  <c r="S28" i="73" s="1"/>
  <c r="S43" i="73"/>
  <c r="S46" i="73" s="1"/>
  <c r="S47" i="73" s="1"/>
  <c r="S62" i="73"/>
  <c r="S65" i="73" s="1"/>
  <c r="S66" i="73" s="1"/>
  <c r="U7" i="73"/>
  <c r="T22" i="73"/>
  <c r="T41" i="73"/>
  <c r="T60" i="73"/>
  <c r="T23" i="73"/>
  <c r="T42" i="73"/>
  <c r="U9" i="73"/>
  <c r="T61" i="73"/>
  <c r="Q7" i="86"/>
  <c r="Q5" i="86"/>
  <c r="Q7" i="53" s="1"/>
  <c r="Q5" i="53"/>
  <c r="P13" i="53" l="1"/>
  <c r="P15" i="53" s="1"/>
  <c r="T43" i="73"/>
  <c r="T46" i="73" s="1"/>
  <c r="T47" i="73" s="1"/>
  <c r="H6" i="85"/>
  <c r="P8" i="82"/>
  <c r="T62" i="73"/>
  <c r="T65" i="73" s="1"/>
  <c r="T66" i="73" s="1"/>
  <c r="R7" i="86"/>
  <c r="R8" i="53" s="1"/>
  <c r="R13" i="53" s="1"/>
  <c r="R5" i="53"/>
  <c r="S68" i="73"/>
  <c r="S69" i="73" s="1"/>
  <c r="S71" i="73" s="1"/>
  <c r="S5" i="86" s="1"/>
  <c r="S7" i="53" s="1"/>
  <c r="U22" i="73"/>
  <c r="U60" i="73"/>
  <c r="U41" i="73"/>
  <c r="T24" i="73"/>
  <c r="T27" i="73" s="1"/>
  <c r="T28" i="73" s="1"/>
  <c r="Q8" i="53"/>
  <c r="Q15" i="86"/>
  <c r="Q16" i="86" s="1"/>
  <c r="U42" i="73"/>
  <c r="U61" i="73"/>
  <c r="U23" i="73"/>
  <c r="R15" i="53" l="1"/>
  <c r="R15" i="86"/>
  <c r="R16" i="86" s="1"/>
  <c r="U62" i="73"/>
  <c r="U65" i="73" s="1"/>
  <c r="U66" i="73" s="1"/>
  <c r="U24" i="73"/>
  <c r="U27" i="73" s="1"/>
  <c r="U28" i="73" s="1"/>
  <c r="S5" i="53"/>
  <c r="S7" i="86"/>
  <c r="S15" i="86" s="1"/>
  <c r="U43" i="73"/>
  <c r="U46" i="73" s="1"/>
  <c r="U47" i="73" s="1"/>
  <c r="T68" i="73"/>
  <c r="T69" i="73" s="1"/>
  <c r="T71" i="73" s="1"/>
  <c r="T5" i="86" s="1"/>
  <c r="T7" i="53" s="1"/>
  <c r="R8" i="82"/>
  <c r="J6" i="85"/>
  <c r="R37" i="53"/>
  <c r="Q8" i="82"/>
  <c r="Q37" i="53"/>
  <c r="I6" i="85"/>
  <c r="Q13" i="53"/>
  <c r="Q15" i="53" s="1"/>
  <c r="S16" i="86" l="1"/>
  <c r="T5" i="53"/>
  <c r="U68" i="73"/>
  <c r="U69" i="73" s="1"/>
  <c r="U71" i="73" s="1"/>
  <c r="U5" i="53" s="1"/>
  <c r="T7" i="86"/>
  <c r="T15" i="86" s="1"/>
  <c r="T16" i="86" s="1"/>
  <c r="S8" i="53"/>
  <c r="S13" i="53" s="1"/>
  <c r="S15" i="53" s="1"/>
  <c r="S37" i="53" l="1"/>
  <c r="K6" i="85"/>
  <c r="S8" i="82"/>
  <c r="U7" i="86"/>
  <c r="U5" i="86"/>
  <c r="U7" i="53" s="1"/>
  <c r="T8" i="53"/>
  <c r="L6" i="85" s="1"/>
  <c r="U15" i="86" l="1"/>
  <c r="U16" i="86" s="1"/>
  <c r="U8" i="53"/>
  <c r="U13" i="53" s="1"/>
  <c r="U15" i="53" s="1"/>
  <c r="T13" i="53"/>
  <c r="T15" i="53" s="1"/>
  <c r="T8" i="82"/>
  <c r="T37" i="53"/>
  <c r="M6" i="85" l="1"/>
  <c r="U8" i="82"/>
  <c r="U37" i="53"/>
  <c r="J18" i="73" l="1"/>
  <c r="I18" i="73"/>
  <c r="H18" i="73"/>
  <c r="G18" i="73"/>
  <c r="F18" i="73"/>
  <c r="E18" i="73"/>
  <c r="D18" i="73"/>
  <c r="J16" i="73"/>
  <c r="I16" i="73"/>
  <c r="H16" i="73"/>
  <c r="G16" i="73"/>
  <c r="F16" i="73"/>
  <c r="E16" i="73"/>
  <c r="D16" i="73"/>
  <c r="C35" i="82"/>
  <c r="B33" i="82"/>
  <c r="B35" i="82" s="1"/>
  <c r="C33" i="82"/>
  <c r="C36" i="82" s="1"/>
  <c r="D35" i="82" s="1"/>
  <c r="D36" i="82" s="1"/>
  <c r="E35" i="82" s="1"/>
  <c r="D33" i="82"/>
  <c r="E33" i="82"/>
  <c r="F33" i="82"/>
  <c r="G33" i="82"/>
  <c r="H33" i="82"/>
  <c r="I33" i="82"/>
  <c r="J33" i="82"/>
  <c r="C22" i="82"/>
  <c r="D22" i="82"/>
  <c r="E22" i="82"/>
  <c r="F22" i="82"/>
  <c r="G22" i="82"/>
  <c r="H22" i="82"/>
  <c r="I22" i="82"/>
  <c r="J22" i="82"/>
  <c r="B22" i="82"/>
  <c r="C14" i="82"/>
  <c r="D14" i="82"/>
  <c r="E14" i="82"/>
  <c r="F14" i="82"/>
  <c r="G14" i="82"/>
  <c r="H14" i="82"/>
  <c r="I14" i="82"/>
  <c r="J14" i="82"/>
  <c r="B14" i="82"/>
  <c r="C8" i="82"/>
  <c r="D8" i="82"/>
  <c r="E8" i="82"/>
  <c r="F8" i="82"/>
  <c r="G8" i="82"/>
  <c r="H8" i="82"/>
  <c r="I8" i="82"/>
  <c r="J8" i="82"/>
  <c r="B8" i="82"/>
  <c r="C7" i="82"/>
  <c r="D7" i="82"/>
  <c r="E7" i="82"/>
  <c r="F7" i="82"/>
  <c r="G7" i="82"/>
  <c r="H7" i="82"/>
  <c r="I7" i="82"/>
  <c r="J7" i="82"/>
  <c r="B7" i="82"/>
  <c r="B3" i="82"/>
  <c r="C3" i="82"/>
  <c r="D3" i="82"/>
  <c r="E3" i="82"/>
  <c r="F3" i="82"/>
  <c r="G3" i="82"/>
  <c r="C31" i="54"/>
  <c r="D31" i="54"/>
  <c r="E31" i="54"/>
  <c r="F31" i="54"/>
  <c r="G31" i="54"/>
  <c r="H31" i="54"/>
  <c r="I31" i="54"/>
  <c r="J31" i="54"/>
  <c r="B31" i="54"/>
  <c r="K30" i="54"/>
  <c r="L30" i="54"/>
  <c r="M30" i="54" s="1"/>
  <c r="N30" i="54" s="1"/>
  <c r="C22" i="54"/>
  <c r="D22" i="54"/>
  <c r="E22" i="54"/>
  <c r="F22" i="54"/>
  <c r="G22" i="54"/>
  <c r="H22" i="54"/>
  <c r="I22" i="54"/>
  <c r="J22" i="54"/>
  <c r="K22" i="54"/>
  <c r="L22" i="54" s="1"/>
  <c r="M22" i="54" s="1"/>
  <c r="N22" i="54" s="1"/>
  <c r="O22" i="54" s="1"/>
  <c r="B22" i="54"/>
  <c r="K23" i="54"/>
  <c r="L23" i="54" s="1"/>
  <c r="C16" i="54"/>
  <c r="C17" i="54" s="1"/>
  <c r="D16" i="54"/>
  <c r="D17" i="54" s="1"/>
  <c r="E16" i="54"/>
  <c r="E17" i="54" s="1"/>
  <c r="F16" i="54"/>
  <c r="F17" i="54" s="1"/>
  <c r="G16" i="54"/>
  <c r="G17" i="54" s="1"/>
  <c r="H16" i="54"/>
  <c r="H17" i="54" s="1"/>
  <c r="H34" i="54" s="1"/>
  <c r="H35" i="54" s="1"/>
  <c r="I16" i="54"/>
  <c r="I17" i="54" s="1"/>
  <c r="I34" i="54" s="1"/>
  <c r="I35" i="54" s="1"/>
  <c r="J16" i="54"/>
  <c r="B16" i="54"/>
  <c r="B17" i="54" s="1"/>
  <c r="B34" i="54" s="1"/>
  <c r="B35" i="54" s="1"/>
  <c r="K14" i="54"/>
  <c r="L14" i="54" s="1"/>
  <c r="M14" i="54" s="1"/>
  <c r="N14" i="54" s="1"/>
  <c r="O14" i="54" s="1"/>
  <c r="J13" i="53"/>
  <c r="B13" i="53"/>
  <c r="C13" i="53"/>
  <c r="C15" i="86" s="1"/>
  <c r="D13" i="53"/>
  <c r="E13" i="53"/>
  <c r="F13" i="53"/>
  <c r="G13" i="53"/>
  <c r="G15" i="86" s="1"/>
  <c r="H13" i="53"/>
  <c r="I13" i="53"/>
  <c r="K31" i="54"/>
  <c r="H3" i="82"/>
  <c r="I3" i="82"/>
  <c r="J3" i="82"/>
  <c r="K3" i="82"/>
  <c r="L3" i="82"/>
  <c r="M3" i="82"/>
  <c r="N3" i="82"/>
  <c r="O3" i="82"/>
  <c r="B3" i="54"/>
  <c r="B39" i="54" s="1"/>
  <c r="C3" i="54"/>
  <c r="C39" i="54" s="1"/>
  <c r="D3" i="54"/>
  <c r="D39" i="54" s="1"/>
  <c r="E3" i="54"/>
  <c r="E39" i="54" s="1"/>
  <c r="F3" i="54"/>
  <c r="F39" i="54" s="1"/>
  <c r="G3" i="54"/>
  <c r="G39" i="54" s="1"/>
  <c r="H3" i="54"/>
  <c r="H39" i="54"/>
  <c r="I3" i="54"/>
  <c r="I39" i="54" s="1"/>
  <c r="J3" i="54"/>
  <c r="J39" i="54" s="1"/>
  <c r="K3" i="54"/>
  <c r="K39" i="54" s="1"/>
  <c r="L3" i="54"/>
  <c r="L39" i="54" s="1"/>
  <c r="M3" i="54"/>
  <c r="M39" i="54" s="1"/>
  <c r="N3" i="54"/>
  <c r="N39" i="54" s="1"/>
  <c r="O3" i="54"/>
  <c r="O39" i="54" s="1"/>
  <c r="K7" i="54"/>
  <c r="L7" i="54" s="1"/>
  <c r="M7" i="54" s="1"/>
  <c r="N7" i="54" s="1"/>
  <c r="O7" i="54" s="1"/>
  <c r="K10" i="54"/>
  <c r="L10" i="54" s="1"/>
  <c r="M10" i="54" s="1"/>
  <c r="N10" i="54" s="1"/>
  <c r="O10" i="54" s="1"/>
  <c r="B11" i="73"/>
  <c r="C11" i="73"/>
  <c r="D11" i="73"/>
  <c r="E11" i="73"/>
  <c r="F11" i="73"/>
  <c r="G11" i="73"/>
  <c r="H11" i="73"/>
  <c r="I11" i="73"/>
  <c r="J11" i="73"/>
  <c r="K11" i="73"/>
  <c r="L11" i="73"/>
  <c r="M11" i="73"/>
  <c r="N11" i="73"/>
  <c r="O11" i="73"/>
  <c r="C14" i="73"/>
  <c r="D14" i="73"/>
  <c r="E14" i="73"/>
  <c r="F14" i="73"/>
  <c r="G14" i="73"/>
  <c r="H14" i="73"/>
  <c r="I14" i="73"/>
  <c r="J14" i="73"/>
  <c r="E28" i="73"/>
  <c r="F28" i="73"/>
  <c r="H28" i="73"/>
  <c r="B3" i="53"/>
  <c r="C3" i="53"/>
  <c r="D3" i="53"/>
  <c r="E3" i="53"/>
  <c r="F3" i="53"/>
  <c r="G3" i="53"/>
  <c r="H3" i="53"/>
  <c r="I3" i="53"/>
  <c r="J3" i="53"/>
  <c r="K3" i="53"/>
  <c r="L3" i="53"/>
  <c r="M3" i="53"/>
  <c r="N3" i="53"/>
  <c r="O3" i="53"/>
  <c r="J28" i="73"/>
  <c r="I28" i="73"/>
  <c r="K31" i="53"/>
  <c r="L31" i="53" s="1"/>
  <c r="M31" i="53" s="1"/>
  <c r="N31" i="53" s="1"/>
  <c r="O31" i="53" s="1"/>
  <c r="E36" i="82" l="1"/>
  <c r="F35" i="82" s="1"/>
  <c r="F36" i="82" s="1"/>
  <c r="G35" i="82" s="1"/>
  <c r="G36" i="82" s="1"/>
  <c r="H35" i="82" s="1"/>
  <c r="H36" i="82" s="1"/>
  <c r="I35" i="82" s="1"/>
  <c r="I36" i="82" s="1"/>
  <c r="J35" i="82" s="1"/>
  <c r="J36" i="82" s="1"/>
  <c r="K35" i="82" s="1"/>
  <c r="C34" i="54"/>
  <c r="C35" i="54" s="1"/>
  <c r="G34" i="54"/>
  <c r="G35" i="54" s="1"/>
  <c r="F34" i="54"/>
  <c r="F35" i="54" s="1"/>
  <c r="E34" i="54"/>
  <c r="E35" i="54" s="1"/>
  <c r="D34" i="54"/>
  <c r="D35" i="54" s="1"/>
  <c r="J17" i="54"/>
  <c r="J35" i="54" s="1"/>
  <c r="G15" i="53"/>
  <c r="G20" i="53" s="1"/>
  <c r="G25" i="53"/>
  <c r="G23" i="53"/>
  <c r="C15" i="53"/>
  <c r="C20" i="53" s="1"/>
  <c r="I15" i="53"/>
  <c r="I20" i="53" s="1"/>
  <c r="I15" i="86"/>
  <c r="H15" i="53"/>
  <c r="H20" i="53" s="1"/>
  <c r="H15" i="86"/>
  <c r="H16" i="86" s="1"/>
  <c r="F15" i="53"/>
  <c r="F20" i="53" s="1"/>
  <c r="F15" i="86"/>
  <c r="G16" i="86" s="1"/>
  <c r="E15" i="53"/>
  <c r="E20" i="53" s="1"/>
  <c r="E15" i="86"/>
  <c r="D15" i="53"/>
  <c r="D20" i="53" s="1"/>
  <c r="D15" i="86"/>
  <c r="D16" i="86" s="1"/>
  <c r="B15" i="53"/>
  <c r="B20" i="53" s="1"/>
  <c r="B15" i="86"/>
  <c r="B13" i="86" s="1"/>
  <c r="J15" i="53"/>
  <c r="J20" i="53" s="1"/>
  <c r="J15" i="86"/>
  <c r="M23" i="54"/>
  <c r="L31" i="54"/>
  <c r="O30" i="54"/>
  <c r="G28" i="73"/>
  <c r="C28" i="73"/>
  <c r="D28" i="73"/>
  <c r="K8" i="73"/>
  <c r="G28" i="53" l="1"/>
  <c r="G27" i="53"/>
  <c r="F25" i="53"/>
  <c r="F23" i="53"/>
  <c r="C25" i="53"/>
  <c r="C23" i="53"/>
  <c r="J25" i="53"/>
  <c r="J23" i="53"/>
  <c r="D25" i="53"/>
  <c r="D23" i="53"/>
  <c r="B25" i="53"/>
  <c r="B23" i="53"/>
  <c r="I25" i="53"/>
  <c r="I23" i="53"/>
  <c r="E25" i="53"/>
  <c r="E23" i="53"/>
  <c r="H25" i="53"/>
  <c r="H23" i="53"/>
  <c r="J16" i="86"/>
  <c r="K16" i="86"/>
  <c r="C16" i="86"/>
  <c r="I16" i="86"/>
  <c r="F16" i="86"/>
  <c r="E16" i="86"/>
  <c r="M31" i="54"/>
  <c r="N23" i="54"/>
  <c r="K10" i="73"/>
  <c r="B28" i="53" l="1"/>
  <c r="B6" i="82" s="1"/>
  <c r="B15" i="82" s="1"/>
  <c r="B27" i="53"/>
  <c r="J28" i="53"/>
  <c r="J27" i="53"/>
  <c r="J36" i="53"/>
  <c r="C28" i="53"/>
  <c r="C6" i="82" s="1"/>
  <c r="C15" i="82" s="1"/>
  <c r="C27" i="53"/>
  <c r="E28" i="53"/>
  <c r="E27" i="53"/>
  <c r="F28" i="53"/>
  <c r="F27" i="53"/>
  <c r="D28" i="53"/>
  <c r="D27" i="53"/>
  <c r="H28" i="53"/>
  <c r="H32" i="53" s="1"/>
  <c r="H27" i="53"/>
  <c r="I28" i="53"/>
  <c r="I32" i="53" s="1"/>
  <c r="I27" i="53"/>
  <c r="G32" i="53"/>
  <c r="G6" i="82"/>
  <c r="G15" i="82" s="1"/>
  <c r="B32" i="53"/>
  <c r="O23" i="54"/>
  <c r="O31" i="54" s="1"/>
  <c r="N31" i="54"/>
  <c r="K16" i="73"/>
  <c r="C32" i="53" l="1"/>
  <c r="E6" i="82"/>
  <c r="E15" i="82" s="1"/>
  <c r="E32" i="53"/>
  <c r="H6" i="82"/>
  <c r="H15" i="82" s="1"/>
  <c r="I6" i="82"/>
  <c r="I15" i="82" s="1"/>
  <c r="D6" i="82"/>
  <c r="D15" i="82" s="1"/>
  <c r="D32" i="53"/>
  <c r="J6" i="82"/>
  <c r="J15" i="82" s="1"/>
  <c r="J32" i="53"/>
  <c r="F32" i="53"/>
  <c r="F6" i="82"/>
  <c r="F15" i="82" s="1"/>
  <c r="K18" i="73"/>
  <c r="K14" i="73"/>
  <c r="L15" i="53"/>
  <c r="L20" i="53" s="1"/>
  <c r="L22" i="53" l="1"/>
  <c r="D7" i="85" s="1"/>
  <c r="M15" i="53"/>
  <c r="L47" i="54"/>
  <c r="L25" i="53" l="1"/>
  <c r="D5" i="85" s="1"/>
  <c r="D9" i="85" s="1"/>
  <c r="D12" i="85" s="1"/>
  <c r="L38" i="53"/>
  <c r="N15" i="53"/>
  <c r="M28" i="73"/>
  <c r="M47" i="54"/>
  <c r="L26" i="53" l="1"/>
  <c r="L7" i="82" s="1"/>
  <c r="L40" i="82"/>
  <c r="L41" i="82" s="1"/>
  <c r="L28" i="82" s="1"/>
  <c r="L31" i="82" s="1"/>
  <c r="L36" i="53"/>
  <c r="L40" i="53" s="1"/>
  <c r="L16" i="82" s="1"/>
  <c r="L28" i="53"/>
  <c r="O15" i="53"/>
  <c r="N28" i="73"/>
  <c r="N47" i="54"/>
  <c r="L33" i="82" l="1"/>
  <c r="L6" i="82"/>
  <c r="L15" i="82" s="1"/>
  <c r="L32" i="53"/>
  <c r="O28" i="73"/>
  <c r="O47" i="54"/>
  <c r="L28" i="73" l="1"/>
  <c r="K24" i="73"/>
  <c r="K28" i="73"/>
  <c r="K25" i="73" l="1"/>
  <c r="K43" i="73" s="1"/>
  <c r="K44" i="73" s="1"/>
  <c r="K15" i="53"/>
  <c r="K47" i="54" l="1"/>
  <c r="K39" i="53"/>
  <c r="K20" i="53"/>
  <c r="K22" i="53" s="1"/>
  <c r="K25" i="53" l="1"/>
  <c r="K38" i="53"/>
  <c r="K40" i="82" l="1"/>
  <c r="K41" i="82" s="1"/>
  <c r="K28" i="82" s="1"/>
  <c r="K31" i="82" s="1"/>
  <c r="K26" i="53"/>
  <c r="K36" i="53"/>
  <c r="K40" i="53" s="1"/>
  <c r="K41" i="53" l="1"/>
  <c r="L41" i="53"/>
  <c r="K16" i="82"/>
  <c r="K28" i="53"/>
  <c r="K7" i="82"/>
  <c r="K33" i="82"/>
  <c r="K36" i="82" s="1"/>
  <c r="L35" i="82" l="1"/>
  <c r="L36" i="82" s="1"/>
  <c r="K6" i="54"/>
  <c r="K6" i="82"/>
  <c r="K32" i="53"/>
  <c r="K15" i="82"/>
  <c r="K48" i="54" l="1"/>
  <c r="K11" i="54"/>
  <c r="K17" i="54" s="1"/>
  <c r="K34" i="54" s="1"/>
  <c r="K35" i="54" s="1"/>
  <c r="L6" i="54"/>
  <c r="M35" i="82"/>
  <c r="L48" i="54" l="1"/>
  <c r="M18" i="53" s="1"/>
  <c r="E8" i="85" s="1"/>
  <c r="L11" i="54"/>
  <c r="L17" i="54" s="1"/>
  <c r="L34" i="54" s="1"/>
  <c r="L35" i="54" s="1"/>
  <c r="M39" i="53" l="1"/>
  <c r="M20" i="53"/>
  <c r="M22" i="53" s="1"/>
  <c r="E7" i="85" s="1"/>
  <c r="M25" i="53" l="1"/>
  <c r="E5" i="85" s="1"/>
  <c r="E9" i="85" s="1"/>
  <c r="E12" i="85" s="1"/>
  <c r="M38" i="53"/>
  <c r="M36" i="53" l="1"/>
  <c r="M40" i="53" s="1"/>
  <c r="M40" i="82"/>
  <c r="M41" i="82" s="1"/>
  <c r="M28" i="82" s="1"/>
  <c r="M31" i="82" s="1"/>
  <c r="M26" i="53"/>
  <c r="M7" i="82" l="1"/>
  <c r="M28" i="53"/>
  <c r="M16" i="82"/>
  <c r="M33" i="82" s="1"/>
  <c r="M36" i="82" s="1"/>
  <c r="M41" i="53"/>
  <c r="N35" i="82" l="1"/>
  <c r="M6" i="54"/>
  <c r="M6" i="82"/>
  <c r="M15" i="82" s="1"/>
  <c r="M32" i="53"/>
  <c r="M11" i="54" l="1"/>
  <c r="M17" i="54" s="1"/>
  <c r="M34" i="54" s="1"/>
  <c r="M35" i="54" s="1"/>
  <c r="M48" i="54"/>
  <c r="N18" i="53" s="1"/>
  <c r="F8" i="85" s="1"/>
  <c r="N39" i="53" l="1"/>
  <c r="N20" i="53"/>
  <c r="N22" i="53" s="1"/>
  <c r="F7" i="85" s="1"/>
  <c r="N25" i="53" l="1"/>
  <c r="F5" i="85" s="1"/>
  <c r="F9" i="85" s="1"/>
  <c r="F12" i="85" s="1"/>
  <c r="N38" i="53"/>
  <c r="N36" i="53" l="1"/>
  <c r="N40" i="53" s="1"/>
  <c r="N40" i="82"/>
  <c r="N41" i="82" s="1"/>
  <c r="N28" i="82" s="1"/>
  <c r="N31" i="82" s="1"/>
  <c r="N26" i="53"/>
  <c r="N7" i="82" l="1"/>
  <c r="N28" i="53"/>
  <c r="N16" i="82"/>
  <c r="N33" i="82" s="1"/>
  <c r="N36" i="82" s="1"/>
  <c r="N41" i="53"/>
  <c r="N6" i="54" l="1"/>
  <c r="O35" i="82"/>
  <c r="N6" i="82"/>
  <c r="N15" i="82" s="1"/>
  <c r="N32" i="53"/>
  <c r="N48" i="54" l="1"/>
  <c r="O18" i="53" s="1"/>
  <c r="G8" i="85" s="1"/>
  <c r="N11" i="54"/>
  <c r="N17" i="54" s="1"/>
  <c r="N34" i="54" s="1"/>
  <c r="N35" i="54" s="1"/>
  <c r="O39" i="53" l="1"/>
  <c r="O20" i="53"/>
  <c r="O22" i="53" s="1"/>
  <c r="G7" i="85" s="1"/>
  <c r="O25" i="53" l="1"/>
  <c r="G5" i="85" s="1"/>
  <c r="G9" i="85" s="1"/>
  <c r="G12" i="85" s="1"/>
  <c r="O38" i="53"/>
  <c r="O36" i="53" l="1"/>
  <c r="O40" i="53" s="1"/>
  <c r="O40" i="82"/>
  <c r="O41" i="82" s="1"/>
  <c r="O28" i="82" s="1"/>
  <c r="O31" i="82" s="1"/>
  <c r="O26" i="53"/>
  <c r="O7" i="82" l="1"/>
  <c r="O28" i="53"/>
  <c r="O16" i="82"/>
  <c r="O33" i="82" s="1"/>
  <c r="O36" i="82" s="1"/>
  <c r="O41" i="53"/>
  <c r="O6" i="54" l="1"/>
  <c r="P35" i="82"/>
  <c r="O6" i="82"/>
  <c r="O15" i="82" s="1"/>
  <c r="O32" i="53"/>
  <c r="O11" i="54" l="1"/>
  <c r="O17" i="54" s="1"/>
  <c r="O34" i="54" s="1"/>
  <c r="O35" i="54" s="1"/>
  <c r="O48" i="54"/>
  <c r="P18" i="53" s="1"/>
  <c r="H8" i="85" s="1"/>
  <c r="P39" i="53" l="1"/>
  <c r="P20" i="53"/>
  <c r="P22" i="53" l="1"/>
  <c r="P25" i="53" s="1"/>
  <c r="H5" i="85" s="1"/>
  <c r="P38" i="53" l="1"/>
  <c r="H7" i="85"/>
  <c r="H9" i="85" s="1"/>
  <c r="H12" i="85" s="1"/>
  <c r="P36" i="53"/>
  <c r="P40" i="82"/>
  <c r="P41" i="82" s="1"/>
  <c r="P28" i="82" s="1"/>
  <c r="P31" i="82" s="1"/>
  <c r="P26" i="53"/>
  <c r="P40" i="53" l="1"/>
  <c r="P41" i="53" s="1"/>
  <c r="P28" i="53"/>
  <c r="P7" i="82"/>
  <c r="P16" i="82" l="1"/>
  <c r="P33" i="82" s="1"/>
  <c r="P36" i="82" s="1"/>
  <c r="P32" i="53"/>
  <c r="P6" i="82"/>
  <c r="P15" i="82" l="1"/>
  <c r="P6" i="54"/>
  <c r="Q35" i="82"/>
  <c r="P48" i="54" l="1"/>
  <c r="Q18" i="53" s="1"/>
  <c r="I8" i="85" s="1"/>
  <c r="P11" i="54"/>
  <c r="P17" i="54" s="1"/>
  <c r="P34" i="54" s="1"/>
  <c r="P35" i="54" s="1"/>
  <c r="Q39" i="53" l="1"/>
  <c r="Q20" i="53"/>
  <c r="Q22" i="53" l="1"/>
  <c r="Q25" i="53" s="1"/>
  <c r="I5" i="85" s="1"/>
  <c r="Q38" i="53" l="1"/>
  <c r="I7" i="85"/>
  <c r="I9" i="85" s="1"/>
  <c r="I12" i="85" s="1"/>
  <c r="Q36" i="53"/>
  <c r="Q26" i="53"/>
  <c r="Q40" i="82"/>
  <c r="Q41" i="82" s="1"/>
  <c r="Q28" i="82" s="1"/>
  <c r="Q31" i="82" s="1"/>
  <c r="Q40" i="53" l="1"/>
  <c r="Q41" i="53" s="1"/>
  <c r="Q28" i="53"/>
  <c r="Q7" i="82"/>
  <c r="Q16" i="82" l="1"/>
  <c r="Q33" i="82" s="1"/>
  <c r="Q36" i="82" s="1"/>
  <c r="R35" i="82" s="1"/>
  <c r="Q32" i="53"/>
  <c r="Q6" i="82"/>
  <c r="Q15" i="82" l="1"/>
  <c r="Q6" i="54"/>
  <c r="Q48" i="54" s="1"/>
  <c r="R18" i="53" s="1"/>
  <c r="J8" i="85" s="1"/>
  <c r="Q11" i="54" l="1"/>
  <c r="Q17" i="54" s="1"/>
  <c r="Q34" i="54" s="1"/>
  <c r="Q35" i="54" s="1"/>
  <c r="R39" i="53"/>
  <c r="R20" i="53"/>
  <c r="R22" i="53" l="1"/>
  <c r="R25" i="53" s="1"/>
  <c r="J5" i="85" s="1"/>
  <c r="R38" i="53" l="1"/>
  <c r="J7" i="85"/>
  <c r="J9" i="85" s="1"/>
  <c r="J12" i="85" s="1"/>
  <c r="R40" i="82"/>
  <c r="R41" i="82" s="1"/>
  <c r="R28" i="82" s="1"/>
  <c r="R31" i="82" s="1"/>
  <c r="R26" i="53"/>
  <c r="R36" i="53"/>
  <c r="R40" i="53" l="1"/>
  <c r="R41" i="53" s="1"/>
  <c r="R28" i="53"/>
  <c r="R7" i="82"/>
  <c r="R16" i="82" l="1"/>
  <c r="R33" i="82" s="1"/>
  <c r="R36" i="82" s="1"/>
  <c r="S35" i="82" s="1"/>
  <c r="R32" i="53"/>
  <c r="R6" i="82"/>
  <c r="R15" i="82" l="1"/>
  <c r="R6" i="54"/>
  <c r="R48" i="54" s="1"/>
  <c r="S18" i="53" s="1"/>
  <c r="K8" i="85" s="1"/>
  <c r="R11" i="54" l="1"/>
  <c r="R17" i="54" s="1"/>
  <c r="R34" i="54" s="1"/>
  <c r="R35" i="54" s="1"/>
  <c r="S39" i="53"/>
  <c r="S20" i="53"/>
  <c r="S22" i="53" l="1"/>
  <c r="S25" i="53" s="1"/>
  <c r="K5" i="85" s="1"/>
  <c r="S38" i="53" l="1"/>
  <c r="K7" i="85"/>
  <c r="K9" i="85" s="1"/>
  <c r="K12" i="85" s="1"/>
  <c r="S26" i="53"/>
  <c r="S40" i="82"/>
  <c r="S41" i="82" s="1"/>
  <c r="S28" i="82" s="1"/>
  <c r="S31" i="82" s="1"/>
  <c r="S36" i="53"/>
  <c r="S40" i="53" l="1"/>
  <c r="S41" i="53" s="1"/>
  <c r="S7" i="82"/>
  <c r="S28" i="53"/>
  <c r="S16" i="82" l="1"/>
  <c r="S33" i="82" s="1"/>
  <c r="S36" i="82" s="1"/>
  <c r="T35" i="82" s="1"/>
  <c r="S6" i="82"/>
  <c r="S32" i="53"/>
  <c r="S6" i="54" l="1"/>
  <c r="S15" i="82"/>
  <c r="S48" i="54"/>
  <c r="T18" i="53" s="1"/>
  <c r="L8" i="85" s="1"/>
  <c r="S11" i="54"/>
  <c r="S17" i="54" s="1"/>
  <c r="S34" i="54" s="1"/>
  <c r="S35" i="54" s="1"/>
  <c r="T39" i="53" l="1"/>
  <c r="T20" i="53"/>
  <c r="T22" i="53" l="1"/>
  <c r="T25" i="53" s="1"/>
  <c r="L5" i="85" s="1"/>
  <c r="T38" i="53" l="1"/>
  <c r="L7" i="85"/>
  <c r="L9" i="85" s="1"/>
  <c r="L12" i="85" s="1"/>
  <c r="T26" i="53"/>
  <c r="T40" i="82"/>
  <c r="T41" i="82" s="1"/>
  <c r="T28" i="82" s="1"/>
  <c r="T31" i="82" s="1"/>
  <c r="T36" i="53"/>
  <c r="T40" i="53" s="1"/>
  <c r="B21" i="85" l="1"/>
  <c r="T16" i="82"/>
  <c r="T41" i="53"/>
  <c r="T7" i="82"/>
  <c r="T28" i="53"/>
  <c r="T32" i="53" l="1"/>
  <c r="T6" i="82"/>
  <c r="T15" i="82" s="1"/>
  <c r="T33" i="82"/>
  <c r="T36" i="82" s="1"/>
  <c r="U35" i="82" l="1"/>
  <c r="T6" i="54"/>
  <c r="T48" i="54" l="1"/>
  <c r="U18" i="53" s="1"/>
  <c r="M8" i="85" s="1"/>
  <c r="T11" i="54"/>
  <c r="T17" i="54" s="1"/>
  <c r="T34" i="54" s="1"/>
  <c r="T35" i="54" s="1"/>
  <c r="U39" i="53" l="1"/>
  <c r="U20" i="53"/>
  <c r="U22" i="53" l="1"/>
  <c r="U25" i="53" s="1"/>
  <c r="M5" i="85" s="1"/>
  <c r="U38" i="53" l="1"/>
  <c r="M7" i="85"/>
  <c r="M9" i="85" s="1"/>
  <c r="M12" i="85" s="1"/>
  <c r="U40" i="82"/>
  <c r="U41" i="82" s="1"/>
  <c r="U28" i="82" s="1"/>
  <c r="U31" i="82" s="1"/>
  <c r="U26" i="53"/>
  <c r="U36" i="53"/>
  <c r="U40" i="53" l="1"/>
  <c r="B17" i="85"/>
  <c r="B19" i="85" s="1"/>
  <c r="B20" i="85" s="1"/>
  <c r="B22" i="85" s="1"/>
  <c r="B23" i="85" s="1"/>
  <c r="B27" i="85" s="1"/>
  <c r="B29" i="85" s="1"/>
  <c r="U41" i="53"/>
  <c r="U16" i="82"/>
  <c r="U33" i="82" s="1"/>
  <c r="U36" i="82" s="1"/>
  <c r="U6" i="54" s="1"/>
  <c r="U7" i="82"/>
  <c r="U28" i="53"/>
  <c r="B31" i="85" l="1"/>
  <c r="U32" i="53"/>
  <c r="U6" i="82"/>
  <c r="U15" i="82" s="1"/>
  <c r="U48" i="54"/>
  <c r="U11" i="54"/>
  <c r="U17" i="54" s="1"/>
  <c r="U34" i="54" s="1"/>
  <c r="U35" i="5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<sst xmlns="http://schemas.openxmlformats.org/spreadsheetml/2006/main" count="228" uniqueCount="147">
  <si>
    <t>Payout Ratio</t>
  </si>
  <si>
    <t>Total Shareholders Equity</t>
  </si>
  <si>
    <t>Other</t>
  </si>
  <si>
    <t>Total Liabilities</t>
  </si>
  <si>
    <t>INCOME STATEMENT</t>
  </si>
  <si>
    <t>% growth</t>
  </si>
  <si>
    <t>Net income</t>
  </si>
  <si>
    <t>ASSUMPTIONS</t>
  </si>
  <si>
    <t xml:space="preserve">Income tax expense </t>
  </si>
  <si>
    <t>BALANCE SHEET</t>
  </si>
  <si>
    <t>interest expense</t>
  </si>
  <si>
    <t>Net Income</t>
  </si>
  <si>
    <t>Total Segment Revenue [Reported]</t>
  </si>
  <si>
    <t>D&amp;A</t>
  </si>
  <si>
    <t xml:space="preserve">EBITDA </t>
  </si>
  <si>
    <t>Income Tax expense</t>
  </si>
  <si>
    <t xml:space="preserve">Other </t>
  </si>
  <si>
    <t>USD millions</t>
  </si>
  <si>
    <t>Revenues</t>
  </si>
  <si>
    <t>Production &amp; Delivery cost</t>
  </si>
  <si>
    <t>Depreciation &amp; Ammortisation</t>
  </si>
  <si>
    <t>Exploration and Research Expenses</t>
  </si>
  <si>
    <t>Selling, General &amp; Administrative</t>
  </si>
  <si>
    <t>Environmental obligations and shutdown costs</t>
  </si>
  <si>
    <t>Total Costs</t>
  </si>
  <si>
    <t>Operating Income</t>
  </si>
  <si>
    <t>Interest Expense</t>
  </si>
  <si>
    <t>Other Income/Expenses, net</t>
  </si>
  <si>
    <t>Income before Tax</t>
  </si>
  <si>
    <t>Net Income attributable to minorites</t>
  </si>
  <si>
    <t>Net Income attributable to common shareholders</t>
  </si>
  <si>
    <t>Other Costs/Gains</t>
  </si>
  <si>
    <t>Number of shares outstanding (mill)</t>
  </si>
  <si>
    <t>Earnings per Share</t>
  </si>
  <si>
    <t>Cash and equivalents</t>
  </si>
  <si>
    <t>Accounts receivable</t>
  </si>
  <si>
    <t>Inventories</t>
  </si>
  <si>
    <t>Mill and Leach stockpiles</t>
  </si>
  <si>
    <t>Total Current Assets</t>
  </si>
  <si>
    <t>Total Non-Current Assets</t>
  </si>
  <si>
    <t>Total Assets</t>
  </si>
  <si>
    <t>Net Property, Plant and Equipment</t>
  </si>
  <si>
    <t>Long term mill and leach stock pile</t>
  </si>
  <si>
    <t>Current Assets:</t>
  </si>
  <si>
    <t>Non-Current Assets:</t>
  </si>
  <si>
    <t>ASSETS</t>
  </si>
  <si>
    <t>LIABILITIES</t>
  </si>
  <si>
    <t>Current Liabilities:</t>
  </si>
  <si>
    <t>Accounts payable and accrued liabilities</t>
  </si>
  <si>
    <t>Total Current Liabilities</t>
  </si>
  <si>
    <t>Non Current Liabilities:</t>
  </si>
  <si>
    <t>Total Non-Current Liabilities</t>
  </si>
  <si>
    <t>Debt</t>
  </si>
  <si>
    <t>Accrued post-retirement benefits/Others</t>
  </si>
  <si>
    <t>Deferred Tax Liability</t>
  </si>
  <si>
    <t>Minority interests</t>
  </si>
  <si>
    <t>Environmental</t>
  </si>
  <si>
    <t>Check: Liabilities + Equity = Assets</t>
  </si>
  <si>
    <t>EQUITY</t>
  </si>
  <si>
    <t>CASH FLOW STATEMENT</t>
  </si>
  <si>
    <t>minority interest</t>
  </si>
  <si>
    <t>Prepaid expenses and other</t>
  </si>
  <si>
    <t>Total changes in Working Capital</t>
  </si>
  <si>
    <t>Working Capital Changes:</t>
  </si>
  <si>
    <t>OPERATING CASH FLOW</t>
  </si>
  <si>
    <t>Capital expenditures</t>
  </si>
  <si>
    <t>Acquisition of additional ownership interest in Cerro Verde</t>
  </si>
  <si>
    <t>INVESTING CASH FLOW</t>
  </si>
  <si>
    <t>Proceeds of Debt</t>
  </si>
  <si>
    <t>Repayment of Debt</t>
  </si>
  <si>
    <t>Dividends Paid</t>
  </si>
  <si>
    <t>Stock Repurchased</t>
  </si>
  <si>
    <t>NET CASH INCREASE/DECREASE</t>
  </si>
  <si>
    <t>FINANCING CASH FLOW</t>
  </si>
  <si>
    <t>Cash at Beginning of year</t>
  </si>
  <si>
    <t>Cash at end of year</t>
  </si>
  <si>
    <t>CASH FROM OPERATING ACTIVITIES:</t>
  </si>
  <si>
    <t>CASH FROM INVESTING ACTIVITIES:</t>
  </si>
  <si>
    <t>CASH FROM FINANCING ACTIVITIES:</t>
  </si>
  <si>
    <t>NORTH AMERICA</t>
  </si>
  <si>
    <t>North America Copper Production (millions pounds,lbs)</t>
  </si>
  <si>
    <t>North America Gold Production (millions ounces,oz)</t>
  </si>
  <si>
    <t>By-Product, Molybdium (mn pounds)</t>
  </si>
  <si>
    <t>COMMODITY PRICE ASSUMPTIONS</t>
  </si>
  <si>
    <t>Ave LME Copper price ($/lb)</t>
  </si>
  <si>
    <t>Gold, $/oz</t>
  </si>
  <si>
    <t>Molybdenum, $/lb</t>
  </si>
  <si>
    <t>Copper Revenue</t>
  </si>
  <si>
    <t>Gold Revenue</t>
  </si>
  <si>
    <t>By-Product Revenue</t>
  </si>
  <si>
    <t>Other as %</t>
  </si>
  <si>
    <t>PRODUCTION</t>
  </si>
  <si>
    <t>REVENUE</t>
  </si>
  <si>
    <t>SOUTH AMERICA</t>
  </si>
  <si>
    <t>South America Copper Production (millions pounds,lbs)</t>
  </si>
  <si>
    <t>South America Gold Production (millions ounces,oz)</t>
  </si>
  <si>
    <t>INDONESIA</t>
  </si>
  <si>
    <t>Indonesia Copper Production (millions pounds,lbs)</t>
  </si>
  <si>
    <t>Indonesia Gold Production (millions ounces,oz)</t>
  </si>
  <si>
    <t>TOTAL REVENUE</t>
  </si>
  <si>
    <t>TOTAL SEGMENT REVENUE</t>
  </si>
  <si>
    <t>OTHER REVENUE</t>
  </si>
  <si>
    <t>COSTS</t>
  </si>
  <si>
    <t>as % Revenue</t>
  </si>
  <si>
    <t>tax rate:</t>
  </si>
  <si>
    <t>% to minorites:</t>
  </si>
  <si>
    <t>EBITDA CONVERSION</t>
  </si>
  <si>
    <t>Net interest</t>
  </si>
  <si>
    <t>Interest Income and interest expense</t>
  </si>
  <si>
    <t>% interest rate</t>
  </si>
  <si>
    <t>Cash</t>
  </si>
  <si>
    <t>interest earned</t>
  </si>
  <si>
    <t>DIVIDENDS PAID</t>
  </si>
  <si>
    <t>DISCOUNTED CASH FLOW</t>
  </si>
  <si>
    <t>BASE YEAR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</si>
  <si>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</si>
  <si>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</si>
  <si>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</si>
  <si>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</si>
  <si>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</si>
  <si>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</si>
  <si>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</si>
  <si>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</si>
  <si>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</si>
  <si>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</si>
  <si>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TERMINAL YEAR</t>
  </si>
  <si>
    <t>less:</t>
  </si>
  <si>
    <t>Free Cash Flow from Operations</t>
  </si>
  <si>
    <t>Discount Rate</t>
  </si>
  <si>
    <t>cumulated discount factor</t>
  </si>
  <si>
    <t>Terminal cash flow</t>
  </si>
  <si>
    <t>Terminal cost of capital</t>
  </si>
  <si>
    <t>Terminal Value</t>
  </si>
  <si>
    <t>Present Value (Terminal Value)</t>
  </si>
  <si>
    <t>Present Value of next 10 years Cash Flows</t>
  </si>
  <si>
    <t>Total Present Value</t>
  </si>
  <si>
    <t>Value of Operating assets =</t>
  </si>
  <si>
    <t>- Debt</t>
  </si>
  <si>
    <t>- Minority Interests</t>
  </si>
  <si>
    <t>+ Cash</t>
  </si>
  <si>
    <t>Value of Equity</t>
  </si>
  <si>
    <t>Number of shares</t>
  </si>
  <si>
    <t>Estimated Value / share</t>
  </si>
  <si>
    <t>Price on market</t>
  </si>
  <si>
    <t>Price as % Value</t>
  </si>
  <si>
    <t>mean:</t>
  </si>
  <si>
    <t>stdev: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</si>
</sst>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(* #,##0.00_);_(* \(#,##0.00\);_(* &quot;-&quot;??_);_(@_)"/>
    <numFmt numFmtId="165" formatCode="&quot;$&quot;#,##0.00_);\(&quot;$&quot;#,##0.00\)"/>
    <numFmt numFmtId="166" formatCode="0.0%"/>
    <numFmt numFmtId="167" formatCode="0.0"/>
    <numFmt numFmtId="168" formatCode="General_)"/>
    <numFmt numFmtId="169" formatCode="0.00_)"/>
    <numFmt numFmtId="170" formatCode="_-* #,##0.0_-;\-* #,##0.0_-;_-* &quot;-&quot;??_-;_-@_-"/>
    <numFmt numFmtId="171" formatCode="_-* #,##0_-;\-* #,##0_-;_-* &quot;-&quot;??_-;_-@_-"/>
    <numFmt numFmtId="172" formatCode="#,##0.0_);\(#,##0.0\)"/>
    <numFmt numFmtId="173" formatCode="_(* #,##0.0_);_(* \(#,##0.0\);_(* &quot;-&quot;?_);_(@_)"/>
    <numFmt numFmtId="174" formatCode="_-&quot;$&quot;* #,##0_-;\-&quot;$&quot;* #,##0_-;_-&quot;$&quot;* &quot;-&quot;_-;_-@_-"/>
    <numFmt numFmtId="175" formatCode="_-&quot;$&quot;* #,##0.00_-;\-&quot;$&quot;* #,##0.00_-;_-&quot;$&quot;* &quot;-&quot;??_-;_-@_-"/>
    <numFmt numFmtId="176" formatCode="_ &quot;\&quot;* #,##0_ ;_ &quot;\&quot;* &quot;\&quot;\-#,##0_ ;_ &quot;\&quot;* &quot;-&quot;_ ;_ @_ "/>
    <numFmt numFmtId="177" formatCode="&quot;$&quot;#,##0.0_);\(&quot;$&quot;#,##0.0\)"/>
    <numFmt numFmtId="178" formatCode="mm/yyyy"/>
    <numFmt numFmtId="179" formatCode="_(* #,##0_);_(* \(#,##0\);_(* &quot;-&quot;??_);_(@_)"/>
    <numFmt numFmtId="180" formatCode="0.0_);\(0.0\)"/>
    <numFmt numFmtId="181" formatCode="#,##0.000_);\(#,##0.000\)"/>
    <numFmt numFmtId="182" formatCode="_-* #,##0\ _D_M_-;\-* #,##0\ _D_M_-;_-* &quot;-&quot;\ _D_M_-;_-@_-"/>
    <numFmt numFmtId="183" formatCode="_-* #,##0.00\ _D_M_-;\-* #,##0.00\ _D_M_-;_-* &quot;-&quot;??\ _D_M_-;_-@_-"/>
    <numFmt numFmtId="184" formatCode="_([$€]* #,##0.00_);_([$€]* \(#,##0.00\);_([$€]* &quot;-&quot;??_);_(@_)"/>
    <numFmt numFmtId="185" formatCode="0.00%;\(0.00%\)"/>
    <numFmt numFmtId="186" formatCode="\(#,##0.0\);#,##0.0_);0"/>
    <numFmt numFmtId="187" formatCode="0.00_);\(0.00\);0.00_)"/>
    <numFmt numFmtId="188" formatCode="#,##0.0_);\(#,##0.0\);0"/>
    <numFmt numFmtId="189" formatCode="#,##0.00_)\ \x;\(#,##0.00\)\ \x"/>
    <numFmt numFmtId="190" formatCode="&quot;L.&quot;\ #,##0;[Red]\-&quot;L.&quot;\ #,##0"/>
    <numFmt numFmtId="191" formatCode="_-* #,##0\ &quot;DM&quot;_-;\-* #,##0\ &quot;DM&quot;_-;_-* &quot;-&quot;\ &quot;DM&quot;_-;_-@_-"/>
    <numFmt numFmtId="192" formatCode="_-* #,##0.00\ &quot;DM&quot;_-;\-* #,##0.00\ &quot;DM&quot;_-;_-* &quot;-&quot;??\ &quot;DM&quot;_-;_-@_-"/>
    <numFmt numFmtId="193" formatCode="_-* #,##0.00_р_._-;\-* #,##0.00_р_._-;_-* &quot;-&quot;??_р_._-;_-@_-"/>
    <numFmt numFmtId="194" formatCode="_-[$$-409]* #,##0.00_ ;_-[$$-409]* \-#,##0.00\ ;_-[$$-409]* &quot;-&quot;??_ ;_-@_ "/>
    <numFmt numFmtId="195" formatCode="_-[$$-409]* #,##0_ ;_-[$$-409]* \-#,##0\ ;_-[$$-409]* &quot;-&quot;??_ ;_-@_ "/>
    <numFmt numFmtId="196" formatCode="_-* #,##0.000_-;\-* #,##0.000_-;_-* &quot;-&quot;??_-;_-@_-"/>
  </numFmts>
  <fonts count="84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Ottawa"/>
    </font>
    <font>
      <sz val="8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 MT"/>
    </font>
    <font>
      <sz val="9"/>
      <name val="Tahoma"/>
      <family val="2"/>
    </font>
    <font>
      <sz val="8"/>
      <name val="Helv"/>
    </font>
    <font>
      <sz val="12"/>
      <name val="????"/>
      <family val="1"/>
      <charset val="136"/>
    </font>
    <font>
      <sz val="12"/>
      <name val="Osaka"/>
      <family val="3"/>
      <charset val="128"/>
    </font>
    <font>
      <sz val="10"/>
      <name val="Courier"/>
      <family val="3"/>
    </font>
    <font>
      <sz val="9"/>
      <color indexed="10"/>
      <name val="Geneva"/>
    </font>
    <font>
      <b/>
      <sz val="10"/>
      <name val="Helvetica"/>
      <family val="2"/>
    </font>
    <font>
      <sz val="9"/>
      <name val="Times New Roman"/>
      <family val="1"/>
    </font>
    <font>
      <sz val="10"/>
      <color indexed="12"/>
      <name val="Arial"/>
      <family val="2"/>
    </font>
    <font>
      <sz val="10"/>
      <name val="Geneva"/>
      <family val="2"/>
    </font>
    <font>
      <i/>
      <sz val="9"/>
      <name val="Arial"/>
      <family val="2"/>
    </font>
    <font>
      <sz val="24"/>
      <name val="Arial"/>
      <family val="2"/>
    </font>
    <font>
      <sz val="9"/>
      <name val="Geneva"/>
    </font>
    <font>
      <b/>
      <sz val="8"/>
      <name val="Arial"/>
      <family val="2"/>
    </font>
    <font>
      <b/>
      <sz val="10"/>
      <color indexed="9"/>
      <name val="Arial Narrow"/>
      <family val="2"/>
    </font>
    <font>
      <sz val="10"/>
      <color indexed="12"/>
      <name val="MS Sans Serif"/>
      <family val="2"/>
    </font>
    <font>
      <b/>
      <sz val="12"/>
      <color indexed="17"/>
      <name val="Wingdings"/>
      <charset val="2"/>
    </font>
    <font>
      <sz val="10"/>
      <name val="MS Sans Serif"/>
      <family val="2"/>
    </font>
    <font>
      <b/>
      <i/>
      <sz val="16"/>
      <name val="Helv"/>
      <family val="2"/>
    </font>
    <font>
      <b/>
      <u/>
      <sz val="12"/>
      <name val="L Serifa Light"/>
    </font>
    <font>
      <i/>
      <sz val="10"/>
      <name val="Helv"/>
    </font>
    <font>
      <sz val="10"/>
      <name val="Helv"/>
    </font>
    <font>
      <b/>
      <sz val="12"/>
      <name val="MS Sans Serif"/>
      <family val="2"/>
    </font>
    <font>
      <b/>
      <sz val="12"/>
      <color indexed="17"/>
      <name val="Arial"/>
      <family val="2"/>
    </font>
    <font>
      <b/>
      <sz val="11"/>
      <name val="Times New Roman"/>
      <family val="1"/>
    </font>
    <font>
      <b/>
      <sz val="16"/>
      <color indexed="62"/>
      <name val="Arial"/>
      <family val="2"/>
    </font>
    <font>
      <b/>
      <sz val="11"/>
      <name val="GillSans"/>
    </font>
    <font>
      <b/>
      <sz val="10"/>
      <color indexed="9"/>
      <name val="Arial"/>
      <family val="2"/>
    </font>
    <font>
      <u/>
      <sz val="8.5"/>
      <color indexed="12"/>
      <name val="Arial Cyr"/>
      <charset val="204"/>
    </font>
    <font>
      <sz val="10"/>
      <name val="Arial Cyr"/>
      <charset val="204"/>
    </font>
    <font>
      <sz val="11"/>
      <name val="돋움"/>
      <family val="3"/>
      <charset val="129"/>
    </font>
    <font>
      <sz val="10"/>
      <name val="ＭＳ Ｐゴシック"/>
      <family val="3"/>
      <charset val="128"/>
    </font>
    <font>
      <sz val="10"/>
      <name val="Geneva"/>
    </font>
    <font>
      <sz val="9"/>
      <name val="Arial MT"/>
    </font>
    <font>
      <b/>
      <sz val="10"/>
      <name val="Arial MT"/>
    </font>
    <font>
      <b/>
      <i/>
      <sz val="10"/>
      <name val="Arial"/>
      <family val="2"/>
    </font>
    <font>
      <sz val="10"/>
      <name val="Arial"/>
      <family val="2"/>
      <charset val="238"/>
    </font>
    <font>
      <i/>
      <sz val="10"/>
      <name val="Arial"/>
      <family val="2"/>
    </font>
    <font>
      <sz val="11"/>
      <name val="Arial MT"/>
    </font>
    <font>
      <i/>
      <sz val="10"/>
      <name val="Arial MT"/>
    </font>
    <font>
      <sz val="10"/>
      <color theme="1"/>
      <name val="Arial"/>
      <family val="2"/>
    </font>
    <font>
      <b/>
      <sz val="12"/>
      <color rgb="FF202020"/>
      <name val="Arial"/>
      <family val="2"/>
    </font>
    <font>
      <b/>
      <sz val="8"/>
      <color rgb="FF145895"/>
      <name val="Arial"/>
      <family val="2"/>
    </font>
    <font>
      <b/>
      <sz val="9"/>
      <color theme="3"/>
      <name val="Arial"/>
      <family val="2"/>
    </font>
    <font>
      <sz val="9"/>
      <color rgb="FF303030"/>
      <name val="Arial"/>
      <family val="2"/>
    </font>
    <font>
      <b/>
      <sz val="9"/>
      <color theme="0"/>
      <name val="Arial"/>
      <family val="2"/>
    </font>
    <font>
      <b/>
      <sz val="9"/>
      <color rgb="FF202020"/>
      <name val="Arial"/>
      <family val="2"/>
    </font>
    <font>
      <sz val="9"/>
      <color rgb="FF505050"/>
      <name val="Arial"/>
      <family val="2"/>
    </font>
    <font>
      <b/>
      <sz val="9"/>
      <color rgb="FF101010"/>
      <name val="Arial"/>
      <family val="2"/>
    </font>
    <font>
      <i/>
      <sz val="9"/>
      <color rgb="FF303030"/>
      <name val="Arial"/>
      <family val="2"/>
    </font>
    <font>
      <b/>
      <sz val="9"/>
      <color rgb="FF303030"/>
      <name val="Arial"/>
      <family val="2"/>
    </font>
    <font>
      <b/>
      <sz val="9"/>
      <color rgb="FF505050"/>
      <name val="Arial"/>
      <family val="2"/>
    </font>
    <font>
      <i/>
      <sz val="9"/>
      <color rgb="FF505050"/>
      <name val="Arial"/>
      <family val="2"/>
    </font>
    <font>
      <i/>
      <sz val="9"/>
      <color rgb="FFFF0000"/>
      <name val="Arial"/>
      <family val="2"/>
    </font>
    <font>
      <b/>
      <sz val="11"/>
      <color rgb="FF303030"/>
      <name val="Arial"/>
      <family val="2"/>
    </font>
    <font>
      <sz val="9"/>
      <color rgb="FFFF0000"/>
      <name val="Arial"/>
      <family val="2"/>
    </font>
    <font>
      <b/>
      <i/>
      <sz val="9"/>
      <color rgb="FF303030"/>
      <name val="Arial"/>
      <family val="2"/>
    </font>
    <font>
      <sz val="9"/>
      <color rgb="FF202020"/>
      <name val="Arial"/>
      <family val="2"/>
    </font>
    <font>
      <sz val="9"/>
      <color rgb="FF101010"/>
      <name val="Arial"/>
      <family val="2"/>
    </font>
    <font>
      <i/>
      <sz val="9"/>
      <color rgb="FF0070C0"/>
      <name val="Arial"/>
      <family val="2"/>
    </font>
    <font>
      <sz val="8"/>
      <color theme="3"/>
      <name val="Arial MT"/>
    </font>
    <font>
      <sz val="11"/>
      <color rgb="FF303030"/>
      <name val="Arial"/>
      <family val="2"/>
    </font>
    <font>
      <sz val="11"/>
      <color rgb="FFFF0000"/>
      <name val="Arial"/>
      <family val="2"/>
    </font>
    <font>
      <b/>
      <i/>
      <sz val="9"/>
      <color rgb="FFFF0000"/>
      <name val="Arial"/>
      <family val="2"/>
    </font>
    <font>
      <b/>
      <sz val="9"/>
      <color rgb="FFFF0000"/>
      <name val="Arial"/>
      <family val="2"/>
    </font>
    <font>
      <i/>
      <u/>
      <sz val="9"/>
      <color rgb="FF303030"/>
      <name val="Arial"/>
      <family val="2"/>
    </font>
    <font>
      <b/>
      <sz val="12"/>
      <color theme="0"/>
      <name val="Arial"/>
      <family val="2"/>
    </font>
    <font>
      <i/>
      <sz val="8"/>
      <name val="Arial MT"/>
    </font>
    <font>
      <b/>
      <sz val="9"/>
      <color rgb="FF505050"/>
      <name val="Abadi"/>
      <family val="2"/>
    </font>
    <font>
      <b/>
      <sz val="12"/>
      <color rgb="FF101010"/>
      <name val="Arial"/>
      <family val="2"/>
    </font>
    <font>
      <u val="singleAccounting"/>
      <sz val="9"/>
      <color rgb="FF505050"/>
      <name val="Arial"/>
      <family val="2"/>
    </font>
  </fonts>
  <fills count="18">
    <fill>
      <patternFill patternType="none"/>
    </fill>
    <fill>
      <patternFill patternType="gray125"/>
    </fill>
    <fill>
      <patternFill patternType="gray125">
        <fgColor indexed="43"/>
        <bgColor indexed="13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lightGray">
        <fgColor indexed="12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1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ck">
        <color rgb="FF7D97B8"/>
      </top>
      <bottom style="medium">
        <color rgb="FF7D97B8"/>
      </bottom>
      <diagonal/>
    </border>
    <border>
      <left/>
      <right/>
      <top/>
      <bottom style="medium">
        <color rgb="FFE4E4E4"/>
      </bottom>
      <diagonal/>
    </border>
    <border>
      <left/>
      <right/>
      <top/>
      <bottom style="medium">
        <color rgb="FF7D97B8"/>
      </bottom>
      <diagonal/>
    </border>
    <border>
      <left/>
      <right/>
      <top style="medium">
        <color rgb="FFE4E4E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85">
    <xf numFmtId="0" fontId="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8" fontId="14" fillId="0" borderId="0" applyFont="0" applyFill="0" applyBorder="0" applyAlignment="0" applyProtection="0"/>
    <xf numFmtId="0" fontId="7" fillId="0" borderId="0" applyNumberFormat="0" applyFont="0" applyFill="0" applyBorder="0" applyAlignment="0" applyProtection="0"/>
    <xf numFmtId="174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" fontId="11" fillId="0" borderId="0"/>
    <xf numFmtId="0" fontId="17" fillId="0" borderId="0">
      <alignment vertical="center"/>
    </xf>
    <xf numFmtId="3" fontId="11" fillId="0" borderId="0"/>
    <xf numFmtId="0" fontId="7" fillId="0" borderId="0"/>
    <xf numFmtId="0" fontId="42" fillId="0" borderId="0"/>
    <xf numFmtId="0" fontId="7" fillId="0" borderId="0">
      <alignment vertical="center"/>
    </xf>
    <xf numFmtId="0" fontId="7" fillId="0" borderId="0"/>
    <xf numFmtId="0" fontId="18" fillId="2" borderId="1">
      <alignment horizontal="left" wrapText="1"/>
    </xf>
    <xf numFmtId="0" fontId="7" fillId="0" borderId="0"/>
    <xf numFmtId="0" fontId="19" fillId="0" borderId="0">
      <alignment horizontal="right"/>
    </xf>
    <xf numFmtId="0" fontId="7" fillId="0" borderId="0" applyNumberFormat="0" applyFill="0" applyBorder="0" applyAlignment="0" applyProtection="0"/>
    <xf numFmtId="0" fontId="13" fillId="0" borderId="0">
      <alignment vertical="center"/>
    </xf>
    <xf numFmtId="0" fontId="20" fillId="0" borderId="0"/>
    <xf numFmtId="0" fontId="7" fillId="3" borderId="0" applyNumberFormat="0" applyFont="0" applyAlignment="0"/>
    <xf numFmtId="172" fontId="7" fillId="0" borderId="0" applyNumberFormat="0" applyFont="0" applyAlignment="0" applyProtection="0"/>
    <xf numFmtId="172" fontId="21" fillId="0" borderId="0" applyNumberFormat="0" applyFill="0" applyBorder="0" applyAlignment="0" applyProtection="0"/>
    <xf numFmtId="172" fontId="7" fillId="0" borderId="2" applyNumberFormat="0" applyFont="0" applyFill="0" applyAlignment="0" applyProtection="0"/>
    <xf numFmtId="0" fontId="7" fillId="0" borderId="0"/>
    <xf numFmtId="0" fontId="7" fillId="0" borderId="0">
      <alignment horizontal="center" wrapText="1"/>
      <protection hidden="1"/>
    </xf>
    <xf numFmtId="43" fontId="1" fillId="0" borderId="0" applyFont="0" applyFill="0" applyBorder="0" applyAlignment="0" applyProtection="0"/>
    <xf numFmtId="176" fontId="7" fillId="0" borderId="0"/>
    <xf numFmtId="176" fontId="7" fillId="0" borderId="0"/>
    <xf numFmtId="176" fontId="7" fillId="0" borderId="0"/>
    <xf numFmtId="176" fontId="7" fillId="0" borderId="0"/>
    <xf numFmtId="176" fontId="7" fillId="0" borderId="0"/>
    <xf numFmtId="176" fontId="7" fillId="0" borderId="0"/>
    <xf numFmtId="176" fontId="7" fillId="0" borderId="0"/>
    <xf numFmtId="176" fontId="7" fillId="0" borderId="0"/>
    <xf numFmtId="41" fontId="53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172" fontId="5" fillId="0" borderId="0"/>
    <xf numFmtId="172" fontId="22" fillId="0" borderId="0" applyFont="0" applyFill="0" applyBorder="0" applyAlignment="0" applyProtection="0"/>
    <xf numFmtId="39" fontId="22" fillId="0" borderId="0" applyFont="0" applyFill="0" applyBorder="0" applyAlignment="0" applyProtection="0"/>
    <xf numFmtId="0" fontId="23" fillId="4" borderId="0" applyNumberFormat="0" applyFill="0" applyBorder="0" applyAlignment="0"/>
    <xf numFmtId="0" fontId="24" fillId="5" borderId="0">
      <alignment horizontal="center" vertical="center" wrapText="1"/>
    </xf>
    <xf numFmtId="42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177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180" fontId="7" fillId="0" borderId="0" applyFont="0" applyFill="0" applyBorder="0" applyAlignment="0" applyProtection="0"/>
    <xf numFmtId="39" fontId="7" fillId="0" borderId="0" applyFont="0" applyFill="0" applyBorder="0" applyAlignment="0" applyProtection="0"/>
    <xf numFmtId="15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49" fontId="7" fillId="0" borderId="0" applyFont="0" applyFill="0" applyBorder="0" applyAlignment="0" applyProtection="0"/>
    <xf numFmtId="37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5" fontId="7" fillId="0" borderId="0" applyFont="0" applyFill="0" applyBorder="0" applyAlignment="0" applyProtection="0"/>
    <xf numFmtId="3" fontId="11" fillId="0" borderId="0">
      <alignment horizontal="right" vertical="center"/>
    </xf>
    <xf numFmtId="37" fontId="21" fillId="0" borderId="3" applyAlignment="0">
      <protection locked="0"/>
    </xf>
    <xf numFmtId="10" fontId="21" fillId="0" borderId="3" applyAlignment="0">
      <protection locked="0"/>
    </xf>
    <xf numFmtId="14" fontId="19" fillId="0" borderId="0">
      <alignment horizontal="left"/>
    </xf>
    <xf numFmtId="39" fontId="25" fillId="0" borderId="0" applyFont="0" applyFill="0" applyBorder="0" applyAlignment="0" applyProtection="0"/>
    <xf numFmtId="181" fontId="25" fillId="0" borderId="0" applyFont="0" applyFill="0" applyBorder="0" applyAlignment="0" applyProtection="0"/>
    <xf numFmtId="182" fontId="7" fillId="0" borderId="0" applyFont="0" applyFill="0" applyBorder="0" applyAlignment="0" applyProtection="0"/>
    <xf numFmtId="183" fontId="7" fillId="0" borderId="0" applyFont="0" applyFill="0" applyBorder="0" applyAlignment="0" applyProtection="0"/>
    <xf numFmtId="184" fontId="7" fillId="0" borderId="0" applyFont="0" applyFill="0" applyBorder="0" applyAlignment="0" applyProtection="0"/>
    <xf numFmtId="38" fontId="5" fillId="4" borderId="0" applyNumberFormat="0" applyBorder="0" applyAlignment="0" applyProtection="0"/>
    <xf numFmtId="185" fontId="26" fillId="6" borderId="4" applyNumberFormat="0" applyFont="0" applyAlignment="0"/>
    <xf numFmtId="0" fontId="27" fillId="7" borderId="5">
      <alignment horizontal="left"/>
      <protection locked="0"/>
    </xf>
    <xf numFmtId="10" fontId="5" fillId="6" borderId="4" applyNumberFormat="0" applyBorder="0" applyAlignment="0" applyProtection="0"/>
    <xf numFmtId="10" fontId="28" fillId="0" borderId="0">
      <protection locked="0"/>
    </xf>
    <xf numFmtId="15" fontId="28" fillId="0" borderId="0">
      <protection locked="0"/>
    </xf>
    <xf numFmtId="2" fontId="28" fillId="0" borderId="6">
      <protection locked="0"/>
    </xf>
    <xf numFmtId="37" fontId="26" fillId="3" borderId="0"/>
    <xf numFmtId="0" fontId="25" fillId="0" borderId="0" applyNumberFormat="0" applyBorder="0" applyProtection="0">
      <alignment horizontal="center"/>
    </xf>
    <xf numFmtId="37" fontId="9" fillId="3" borderId="0"/>
    <xf numFmtId="0" fontId="25" fillId="0" borderId="7">
      <alignment horizontal="center"/>
    </xf>
    <xf numFmtId="0" fontId="28" fillId="0" borderId="0">
      <protection locked="0"/>
    </xf>
    <xf numFmtId="0" fontId="7" fillId="0" borderId="0" applyFill="0" applyBorder="0">
      <alignment horizontal="right"/>
      <protection locked="0"/>
    </xf>
    <xf numFmtId="186" fontId="25" fillId="0" borderId="0" applyFont="0" applyFill="0" applyBorder="0" applyAlignment="0" applyProtection="0"/>
    <xf numFmtId="187" fontId="7" fillId="0" borderId="0" applyFill="0" applyBorder="0">
      <alignment horizontal="right"/>
      <protection locked="0"/>
    </xf>
    <xf numFmtId="0" fontId="2" fillId="8" borderId="8">
      <alignment horizontal="left" vertical="center" wrapText="1"/>
    </xf>
    <xf numFmtId="172" fontId="29" fillId="0" borderId="0" applyNumberFormat="0" applyFont="0" applyFill="0" applyBorder="0" applyAlignment="0">
      <protection hidden="1"/>
    </xf>
    <xf numFmtId="0" fontId="49" fillId="0" borderId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88" fontId="25" fillId="0" borderId="0" applyFill="0"/>
    <xf numFmtId="169" fontId="31" fillId="0" borderId="0"/>
    <xf numFmtId="1" fontId="32" fillId="0" borderId="0" applyFill="0" applyBorder="0"/>
    <xf numFmtId="0" fontId="53" fillId="0" borderId="0"/>
    <xf numFmtId="168" fontId="12" fillId="0" borderId="0"/>
    <xf numFmtId="0" fontId="7" fillId="0" borderId="0" applyNumberFormat="0" applyFill="0" applyBorder="0" applyAlignment="0" applyProtection="0"/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 applyNumberForma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30" fillId="0" borderId="0"/>
    <xf numFmtId="0" fontId="33" fillId="0" borderId="6"/>
    <xf numFmtId="3" fontId="11" fillId="0" borderId="2" applyBorder="0"/>
    <xf numFmtId="40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37" fontId="21" fillId="0" borderId="3">
      <protection locked="0"/>
    </xf>
    <xf numFmtId="9" fontId="1" fillId="0" borderId="0" applyFont="0" applyFill="0" applyBorder="0" applyAlignment="0" applyProtection="0"/>
    <xf numFmtId="166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53" fillId="0" borderId="0" applyFont="0" applyFill="0" applyBorder="0" applyAlignment="0" applyProtection="0"/>
    <xf numFmtId="166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0" fontId="25" fillId="0" borderId="0">
      <protection locked="0"/>
    </xf>
    <xf numFmtId="0" fontId="25" fillId="0" borderId="0" applyNumberFormat="0">
      <alignment horizontal="center"/>
    </xf>
    <xf numFmtId="0" fontId="25" fillId="0" borderId="0">
      <alignment horizontal="left" wrapText="1"/>
    </xf>
    <xf numFmtId="37" fontId="21" fillId="0" borderId="0">
      <protection locked="0"/>
    </xf>
    <xf numFmtId="49" fontId="11" fillId="0" borderId="0">
      <alignment horizontal="right"/>
    </xf>
    <xf numFmtId="37" fontId="30" fillId="0" borderId="0" applyFont="0" applyFill="0" applyBorder="0" applyAlignment="0" applyProtection="0"/>
    <xf numFmtId="0" fontId="35" fillId="5" borderId="4">
      <alignment horizontal="center" vertical="center" wrapText="1"/>
      <protection hidden="1"/>
    </xf>
    <xf numFmtId="0" fontId="36" fillId="4" borderId="9">
      <alignment horizontal="centerContinuous" vertical="center" wrapText="1"/>
    </xf>
    <xf numFmtId="3" fontId="5" fillId="0" borderId="0"/>
    <xf numFmtId="0" fontId="7" fillId="0" borderId="10">
      <alignment wrapText="1"/>
      <protection locked="0"/>
    </xf>
    <xf numFmtId="0" fontId="3" fillId="0" borderId="0">
      <alignment vertical="top"/>
    </xf>
    <xf numFmtId="3" fontId="5" fillId="0" borderId="0" applyFill="0" applyBorder="0">
      <alignment horizontal="right" vertical="center"/>
    </xf>
    <xf numFmtId="3" fontId="10" fillId="0" borderId="0" applyNumberFormat="0"/>
    <xf numFmtId="0" fontId="5" fillId="0" borderId="0" applyFill="0" applyBorder="0">
      <alignment vertical="center"/>
    </xf>
    <xf numFmtId="0" fontId="26" fillId="0" borderId="0" applyFill="0">
      <alignment vertical="center"/>
    </xf>
    <xf numFmtId="189" fontId="7" fillId="0" borderId="0"/>
    <xf numFmtId="40" fontId="37" fillId="0" borderId="0"/>
    <xf numFmtId="3" fontId="38" fillId="0" borderId="0"/>
    <xf numFmtId="0" fontId="39" fillId="1" borderId="0" applyNumberFormat="0" applyBorder="0" applyProtection="0">
      <alignment horizontal="left" vertical="center"/>
    </xf>
    <xf numFmtId="0" fontId="40" fillId="9" borderId="0" applyNumberFormat="0" applyBorder="0">
      <alignment horizontal="centerContinuous"/>
    </xf>
    <xf numFmtId="0" fontId="7" fillId="0" borderId="0" applyBorder="0"/>
    <xf numFmtId="0" fontId="10" fillId="0" borderId="11">
      <alignment horizontal="center" wrapText="1"/>
    </xf>
    <xf numFmtId="172" fontId="7" fillId="0" borderId="2" applyNumberFormat="0" applyFont="0" applyFill="0" applyAlignment="0" applyProtection="0"/>
    <xf numFmtId="3" fontId="10" fillId="0" borderId="12" applyNumberFormat="0"/>
    <xf numFmtId="37" fontId="4" fillId="0" borderId="0"/>
    <xf numFmtId="190" fontId="30" fillId="0" borderId="0" applyFont="0" applyFill="0" applyBorder="0" applyAlignment="0" applyProtection="0"/>
    <xf numFmtId="190" fontId="30" fillId="0" borderId="0" applyFont="0" applyFill="0" applyBorder="0" applyAlignment="0" applyProtection="0"/>
    <xf numFmtId="191" fontId="7" fillId="0" borderId="0" applyFont="0" applyFill="0" applyBorder="0" applyAlignment="0" applyProtection="0"/>
    <xf numFmtId="192" fontId="7" fillId="0" borderId="0" applyFont="0" applyFill="0" applyBorder="0" applyAlignment="0" applyProtection="0"/>
    <xf numFmtId="0" fontId="41" fillId="0" borderId="0" applyNumberFormat="0" applyFill="0" applyBorder="0" applyAlignment="0" applyProtection="0">
      <alignment vertical="top"/>
      <protection locked="0"/>
    </xf>
    <xf numFmtId="0" fontId="42" fillId="0" borderId="0">
      <alignment vertical="center"/>
    </xf>
    <xf numFmtId="0" fontId="42" fillId="0" borderId="0"/>
    <xf numFmtId="193" fontId="42" fillId="0" borderId="0" applyFont="0" applyFill="0" applyBorder="0" applyAlignment="0" applyProtection="0"/>
    <xf numFmtId="9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3" fontId="43" fillId="0" borderId="0" applyFont="0" applyFill="0" applyBorder="0" applyAlignment="0" applyProtection="0"/>
    <xf numFmtId="0" fontId="43" fillId="0" borderId="0"/>
    <xf numFmtId="0" fontId="43" fillId="0" borderId="0">
      <alignment vertical="center"/>
    </xf>
    <xf numFmtId="0" fontId="44" fillId="0" borderId="0"/>
  </cellStyleXfs>
  <cellXfs count="139">
    <xf numFmtId="0" fontId="0" fillId="0" borderId="0" xfId="0"/>
    <xf numFmtId="168" fontId="12" fillId="10" borderId="0" xfId="119" applyNumberFormat="1" applyFill="1" applyAlignment="1"/>
    <xf numFmtId="168" fontId="12" fillId="10" borderId="0" xfId="119" applyNumberFormat="1" applyFill="1" applyAlignment="1">
      <alignment horizontal="center"/>
    </xf>
    <xf numFmtId="168" fontId="54" fillId="10" borderId="0" xfId="119" applyNumberFormat="1" applyFont="1" applyFill="1" applyAlignment="1">
      <alignment vertical="center" wrapText="1"/>
    </xf>
    <xf numFmtId="168" fontId="55" fillId="10" borderId="15" xfId="119" applyNumberFormat="1" applyFont="1" applyFill="1" applyBorder="1" applyAlignment="1">
      <alignment horizontal="center" vertical="center" wrapText="1"/>
    </xf>
    <xf numFmtId="168" fontId="56" fillId="10" borderId="15" xfId="119" applyNumberFormat="1" applyFont="1" applyFill="1" applyBorder="1" applyAlignment="1">
      <alignment horizontal="center" vertical="center" wrapText="1"/>
    </xf>
    <xf numFmtId="168" fontId="57" fillId="10" borderId="0" xfId="119" applyNumberFormat="1" applyFont="1" applyFill="1" applyAlignment="1">
      <alignment horizontal="left" vertical="center" wrapText="1" indent="1"/>
    </xf>
    <xf numFmtId="168" fontId="58" fillId="11" borderId="0" xfId="119" applyNumberFormat="1" applyFont="1" applyFill="1" applyAlignment="1">
      <alignment horizontal="left" vertical="center" wrapText="1" indent="1"/>
    </xf>
    <xf numFmtId="168" fontId="58" fillId="11" borderId="0" xfId="119" applyNumberFormat="1" applyFont="1" applyFill="1" applyAlignment="1">
      <alignment horizontal="center" vertical="center" wrapText="1"/>
    </xf>
    <xf numFmtId="168" fontId="59" fillId="10" borderId="0" xfId="119" applyNumberFormat="1" applyFont="1" applyFill="1" applyAlignment="1">
      <alignment horizontal="left" vertical="center" wrapText="1" indent="1"/>
    </xf>
    <xf numFmtId="171" fontId="60" fillId="10" borderId="16" xfId="52" applyNumberFormat="1" applyFont="1" applyFill="1" applyBorder="1" applyAlignment="1">
      <alignment horizontal="right" vertical="center" wrapText="1"/>
    </xf>
    <xf numFmtId="168" fontId="59" fillId="10" borderId="16" xfId="119" applyNumberFormat="1" applyFont="1" applyFill="1" applyBorder="1" applyAlignment="1">
      <alignment horizontal="left" vertical="center" wrapText="1" indent="1"/>
    </xf>
    <xf numFmtId="168" fontId="57" fillId="10" borderId="16" xfId="119" applyNumberFormat="1" applyFont="1" applyFill="1" applyBorder="1" applyAlignment="1">
      <alignment horizontal="left" vertical="center" wrapText="1" indent="1"/>
    </xf>
    <xf numFmtId="171" fontId="60" fillId="10" borderId="16" xfId="49" applyNumberFormat="1" applyFont="1" applyFill="1" applyBorder="1" applyAlignment="1">
      <alignment horizontal="right" vertical="center" wrapText="1"/>
    </xf>
    <xf numFmtId="168" fontId="62" fillId="10" borderId="16" xfId="119" applyNumberFormat="1" applyFont="1" applyFill="1" applyBorder="1" applyAlignment="1">
      <alignment horizontal="right" vertical="center" wrapText="1" indent="1"/>
    </xf>
    <xf numFmtId="168" fontId="59" fillId="10" borderId="17" xfId="119" applyNumberFormat="1" applyFont="1" applyFill="1" applyBorder="1" applyAlignment="1">
      <alignment horizontal="left" vertical="center" wrapText="1" indent="1"/>
    </xf>
    <xf numFmtId="168" fontId="63" fillId="10" borderId="16" xfId="119" applyNumberFormat="1" applyFont="1" applyFill="1" applyBorder="1" applyAlignment="1">
      <alignment horizontal="left" vertical="center" wrapText="1" indent="1"/>
    </xf>
    <xf numFmtId="171" fontId="64" fillId="10" borderId="16" xfId="52" applyNumberFormat="1" applyFont="1" applyFill="1" applyBorder="1" applyAlignment="1">
      <alignment horizontal="right" vertical="center" wrapText="1"/>
    </xf>
    <xf numFmtId="168" fontId="47" fillId="10" borderId="0" xfId="119" applyNumberFormat="1" applyFont="1" applyFill="1" applyAlignment="1"/>
    <xf numFmtId="171" fontId="64" fillId="10" borderId="16" xfId="49" applyNumberFormat="1" applyFont="1" applyFill="1" applyBorder="1" applyAlignment="1">
      <alignment horizontal="right" vertical="center" wrapText="1"/>
    </xf>
    <xf numFmtId="171" fontId="64" fillId="10" borderId="11" xfId="49" applyNumberFormat="1" applyFont="1" applyFill="1" applyBorder="1" applyAlignment="1">
      <alignment horizontal="right" vertical="center" wrapText="1"/>
    </xf>
    <xf numFmtId="171" fontId="60" fillId="10" borderId="0" xfId="49" applyNumberFormat="1" applyFont="1" applyFill="1" applyBorder="1" applyAlignment="1">
      <alignment horizontal="right" vertical="center" wrapText="1"/>
    </xf>
    <xf numFmtId="168" fontId="46" fillId="10" borderId="0" xfId="119" applyNumberFormat="1" applyFont="1" applyFill="1" applyAlignment="1"/>
    <xf numFmtId="168" fontId="58" fillId="11" borderId="0" xfId="119" applyNumberFormat="1" applyFont="1" applyFill="1" applyAlignment="1">
      <alignment horizontal="right" vertical="center" wrapText="1"/>
    </xf>
    <xf numFmtId="168" fontId="62" fillId="10" borderId="16" xfId="119" applyNumberFormat="1" applyFont="1" applyFill="1" applyBorder="1" applyAlignment="1">
      <alignment horizontal="left" vertical="center" wrapText="1" indent="1"/>
    </xf>
    <xf numFmtId="168" fontId="59" fillId="10" borderId="11" xfId="119" applyNumberFormat="1" applyFont="1" applyFill="1" applyBorder="1" applyAlignment="1">
      <alignment horizontal="left" vertical="center" wrapText="1" indent="1"/>
    </xf>
    <xf numFmtId="171" fontId="60" fillId="10" borderId="16" xfId="37" applyNumberFormat="1" applyFont="1" applyFill="1" applyBorder="1" applyAlignment="1">
      <alignment horizontal="right" vertical="center" wrapText="1"/>
    </xf>
    <xf numFmtId="168" fontId="56" fillId="12" borderId="15" xfId="119" applyNumberFormat="1" applyFont="1" applyFill="1" applyBorder="1" applyAlignment="1">
      <alignment horizontal="center" vertical="center" wrapText="1"/>
    </xf>
    <xf numFmtId="166" fontId="65" fillId="10" borderId="16" xfId="137" applyNumberFormat="1" applyFont="1" applyFill="1" applyBorder="1" applyAlignment="1">
      <alignment horizontal="right" vertical="center" wrapText="1"/>
    </xf>
    <xf numFmtId="0" fontId="12" fillId="10" borderId="0" xfId="119" applyFill="1" applyAlignment="1"/>
    <xf numFmtId="166" fontId="65" fillId="10" borderId="16" xfId="133" applyNumberFormat="1" applyFont="1" applyFill="1" applyBorder="1" applyAlignment="1">
      <alignment horizontal="right" vertical="center" wrapText="1"/>
    </xf>
    <xf numFmtId="166" fontId="66" fillId="10" borderId="16" xfId="133" applyNumberFormat="1" applyFont="1" applyFill="1" applyBorder="1" applyAlignment="1">
      <alignment horizontal="right" vertical="center" wrapText="1"/>
    </xf>
    <xf numFmtId="168" fontId="67" fillId="10" borderId="14" xfId="119" applyNumberFormat="1" applyFont="1" applyFill="1" applyBorder="1" applyAlignment="1">
      <alignment horizontal="left" vertical="center" wrapText="1" indent="1"/>
    </xf>
    <xf numFmtId="166" fontId="60" fillId="10" borderId="16" xfId="133" applyNumberFormat="1" applyFont="1" applyFill="1" applyBorder="1" applyAlignment="1">
      <alignment horizontal="right" vertical="center" wrapText="1"/>
    </xf>
    <xf numFmtId="170" fontId="60" fillId="10" borderId="0" xfId="49" applyNumberFormat="1" applyFont="1" applyFill="1" applyBorder="1" applyAlignment="1">
      <alignment horizontal="right" vertical="center" wrapText="1"/>
    </xf>
    <xf numFmtId="170" fontId="60" fillId="10" borderId="16" xfId="52" applyNumberFormat="1" applyFont="1" applyFill="1" applyBorder="1" applyAlignment="1">
      <alignment horizontal="right" vertical="center" wrapText="1"/>
    </xf>
    <xf numFmtId="170" fontId="60" fillId="10" borderId="16" xfId="49" applyNumberFormat="1" applyFont="1" applyFill="1" applyBorder="1" applyAlignment="1">
      <alignment horizontal="right" vertical="center" wrapText="1"/>
    </xf>
    <xf numFmtId="168" fontId="69" fillId="10" borderId="16" xfId="119" applyNumberFormat="1" applyFont="1" applyFill="1" applyBorder="1" applyAlignment="1">
      <alignment horizontal="left" vertical="center" wrapText="1" indent="1"/>
    </xf>
    <xf numFmtId="9" fontId="60" fillId="10" borderId="16" xfId="133" applyFont="1" applyFill="1" applyBorder="1" applyAlignment="1">
      <alignment horizontal="right" vertical="center" wrapText="1"/>
    </xf>
    <xf numFmtId="166" fontId="68" fillId="10" borderId="16" xfId="133" applyNumberFormat="1" applyFont="1" applyFill="1" applyBorder="1" applyAlignment="1">
      <alignment horizontal="right" vertical="center" wrapText="1"/>
    </xf>
    <xf numFmtId="168" fontId="70" fillId="10" borderId="16" xfId="119" applyNumberFormat="1" applyFont="1" applyFill="1" applyBorder="1" applyAlignment="1">
      <alignment horizontal="left" vertical="center" wrapText="1" indent="1"/>
    </xf>
    <xf numFmtId="170" fontId="60" fillId="10" borderId="16" xfId="37" applyNumberFormat="1" applyFont="1" applyFill="1" applyBorder="1" applyAlignment="1">
      <alignment horizontal="right" vertical="center" wrapText="1"/>
    </xf>
    <xf numFmtId="168" fontId="63" fillId="12" borderId="16" xfId="119" applyNumberFormat="1" applyFont="1" applyFill="1" applyBorder="1" applyAlignment="1">
      <alignment horizontal="left" vertical="center" wrapText="1" indent="1"/>
    </xf>
    <xf numFmtId="170" fontId="60" fillId="12" borderId="16" xfId="49" applyNumberFormat="1" applyFont="1" applyFill="1" applyBorder="1" applyAlignment="1">
      <alignment horizontal="right" vertical="center" wrapText="1"/>
    </xf>
    <xf numFmtId="195" fontId="72" fillId="10" borderId="16" xfId="37" applyNumberFormat="1" applyFont="1" applyFill="1" applyBorder="1" applyAlignment="1">
      <alignment horizontal="left" vertical="center" indent="1"/>
    </xf>
    <xf numFmtId="168" fontId="72" fillId="10" borderId="16" xfId="119" applyNumberFormat="1" applyFont="1" applyFill="1" applyBorder="1" applyAlignment="1">
      <alignment horizontal="left" vertical="center" wrapText="1" indent="1"/>
    </xf>
    <xf numFmtId="170" fontId="57" fillId="10" borderId="0" xfId="37" applyNumberFormat="1" applyFont="1" applyFill="1" applyBorder="1" applyAlignment="1">
      <alignment horizontal="right" vertical="center" indent="1"/>
    </xf>
    <xf numFmtId="166" fontId="73" fillId="10" borderId="0" xfId="133" applyNumberFormat="1" applyFont="1" applyFill="1" applyAlignment="1"/>
    <xf numFmtId="168" fontId="52" fillId="10" borderId="0" xfId="119" applyNumberFormat="1" applyFont="1" applyFill="1" applyAlignment="1"/>
    <xf numFmtId="168" fontId="63" fillId="10" borderId="11" xfId="119" applyNumberFormat="1" applyFont="1" applyFill="1" applyBorder="1" applyAlignment="1">
      <alignment horizontal="left" vertical="center" wrapText="1" indent="1"/>
    </xf>
    <xf numFmtId="168" fontId="74" fillId="10" borderId="0" xfId="119" applyNumberFormat="1" applyFont="1" applyFill="1" applyAlignment="1">
      <alignment horizontal="left" vertical="center" wrapText="1" indent="1"/>
    </xf>
    <xf numFmtId="168" fontId="51" fillId="10" borderId="0" xfId="119" applyNumberFormat="1" applyFont="1" applyFill="1" applyAlignment="1"/>
    <xf numFmtId="43" fontId="6" fillId="10" borderId="0" xfId="37" applyFont="1" applyFill="1" applyBorder="1" applyAlignment="1"/>
    <xf numFmtId="43" fontId="75" fillId="10" borderId="0" xfId="37" applyFont="1" applyFill="1" applyBorder="1" applyAlignment="1"/>
    <xf numFmtId="171" fontId="60" fillId="10" borderId="0" xfId="52" applyNumberFormat="1" applyFont="1" applyFill="1" applyBorder="1" applyAlignment="1">
      <alignment horizontal="right" vertical="center" wrapText="1"/>
    </xf>
    <xf numFmtId="170" fontId="61" fillId="10" borderId="11" xfId="49" applyNumberFormat="1" applyFont="1" applyFill="1" applyBorder="1" applyAlignment="1">
      <alignment horizontal="right" vertical="center" wrapText="1"/>
    </xf>
    <xf numFmtId="166" fontId="66" fillId="14" borderId="16" xfId="137" applyNumberFormat="1" applyFont="1" applyFill="1" applyBorder="1" applyAlignment="1">
      <alignment horizontal="right" vertical="center" wrapText="1"/>
    </xf>
    <xf numFmtId="168" fontId="78" fillId="10" borderId="16" xfId="119" applyNumberFormat="1" applyFont="1" applyFill="1" applyBorder="1" applyAlignment="1">
      <alignment horizontal="left" vertical="center" wrapText="1" indent="1"/>
    </xf>
    <xf numFmtId="171" fontId="64" fillId="10" borderId="16" xfId="37" applyNumberFormat="1" applyFont="1" applyFill="1" applyBorder="1" applyAlignment="1">
      <alignment horizontal="right" vertical="center" wrapText="1"/>
    </xf>
    <xf numFmtId="171" fontId="65" fillId="10" borderId="16" xfId="37" applyNumberFormat="1" applyFont="1" applyFill="1" applyBorder="1" applyAlignment="1">
      <alignment horizontal="right" vertical="center" wrapText="1"/>
    </xf>
    <xf numFmtId="171" fontId="59" fillId="12" borderId="16" xfId="119" applyNumberFormat="1" applyFont="1" applyFill="1" applyBorder="1" applyAlignment="1">
      <alignment horizontal="left" vertical="center" wrapText="1" indent="1"/>
    </xf>
    <xf numFmtId="171" fontId="62" fillId="10" borderId="16" xfId="37" applyNumberFormat="1" applyFont="1" applyFill="1" applyBorder="1" applyAlignment="1">
      <alignment horizontal="right" vertical="center" wrapText="1" indent="1"/>
    </xf>
    <xf numFmtId="171" fontId="60" fillId="10" borderId="0" xfId="37" applyNumberFormat="1" applyFont="1" applyFill="1" applyBorder="1" applyAlignment="1">
      <alignment horizontal="right" vertical="center" wrapText="1"/>
    </xf>
    <xf numFmtId="171" fontId="71" fillId="10" borderId="16" xfId="37" applyNumberFormat="1" applyFont="1" applyFill="1" applyBorder="1" applyAlignment="1">
      <alignment horizontal="right" vertical="center" wrapText="1"/>
    </xf>
    <xf numFmtId="171" fontId="61" fillId="10" borderId="0" xfId="37" applyNumberFormat="1" applyFont="1" applyFill="1" applyBorder="1" applyAlignment="1">
      <alignment horizontal="right" vertical="center" wrapText="1"/>
    </xf>
    <xf numFmtId="171" fontId="61" fillId="10" borderId="11" xfId="37" applyNumberFormat="1" applyFont="1" applyFill="1" applyBorder="1" applyAlignment="1">
      <alignment horizontal="right" vertical="center" wrapText="1"/>
    </xf>
    <xf numFmtId="171" fontId="61" fillId="10" borderId="16" xfId="37" applyNumberFormat="1" applyFont="1" applyFill="1" applyBorder="1" applyAlignment="1">
      <alignment horizontal="right" vertical="center" wrapText="1"/>
    </xf>
    <xf numFmtId="171" fontId="64" fillId="10" borderId="11" xfId="37" applyNumberFormat="1" applyFont="1" applyFill="1" applyBorder="1" applyAlignment="1">
      <alignment horizontal="right" vertical="center" wrapText="1"/>
    </xf>
    <xf numFmtId="195" fontId="61" fillId="10" borderId="17" xfId="37" applyNumberFormat="1" applyFont="1" applyFill="1" applyBorder="1" applyAlignment="1">
      <alignment horizontal="right" vertical="center" wrapText="1"/>
    </xf>
    <xf numFmtId="194" fontId="2" fillId="10" borderId="14" xfId="37" applyNumberFormat="1" applyFont="1" applyFill="1" applyBorder="1" applyAlignment="1"/>
    <xf numFmtId="168" fontId="79" fillId="11" borderId="0" xfId="119" applyNumberFormat="1" applyFont="1" applyFill="1" applyAlignment="1">
      <alignment horizontal="left" vertical="center" wrapText="1" indent="1"/>
    </xf>
    <xf numFmtId="168" fontId="57" fillId="10" borderId="11" xfId="119" applyNumberFormat="1" applyFont="1" applyFill="1" applyBorder="1" applyAlignment="1">
      <alignment horizontal="left" vertical="center" wrapText="1" indent="1"/>
    </xf>
    <xf numFmtId="171" fontId="60" fillId="10" borderId="11" xfId="49" applyNumberFormat="1" applyFont="1" applyFill="1" applyBorder="1" applyAlignment="1">
      <alignment horizontal="right" vertical="center" wrapText="1"/>
    </xf>
    <xf numFmtId="168" fontId="26" fillId="10" borderId="15" xfId="119" applyNumberFormat="1" applyFont="1" applyFill="1" applyBorder="1" applyAlignment="1">
      <alignment horizontal="left" vertical="center"/>
    </xf>
    <xf numFmtId="0" fontId="0" fillId="10" borderId="0" xfId="0" applyFill="1"/>
    <xf numFmtId="0" fontId="48" fillId="10" borderId="0" xfId="0" applyFont="1" applyFill="1"/>
    <xf numFmtId="0" fontId="7" fillId="10" borderId="0" xfId="0" applyFont="1" applyFill="1"/>
    <xf numFmtId="0" fontId="50" fillId="10" borderId="0" xfId="0" applyFont="1" applyFill="1"/>
    <xf numFmtId="168" fontId="57" fillId="10" borderId="14" xfId="119" applyNumberFormat="1" applyFont="1" applyFill="1" applyBorder="1" applyAlignment="1">
      <alignment horizontal="left" vertical="center" wrapText="1" indent="1"/>
    </xf>
    <xf numFmtId="171" fontId="60" fillId="10" borderId="14" xfId="49" applyNumberFormat="1" applyFont="1" applyFill="1" applyBorder="1" applyAlignment="1">
      <alignment horizontal="right" vertical="center" wrapText="1"/>
    </xf>
    <xf numFmtId="196" fontId="60" fillId="10" borderId="16" xfId="52" applyNumberFormat="1" applyFont="1" applyFill="1" applyBorder="1" applyAlignment="1">
      <alignment horizontal="right" vertical="center" wrapText="1"/>
    </xf>
    <xf numFmtId="168" fontId="56" fillId="10" borderId="0" xfId="119" applyNumberFormat="1" applyFont="1" applyFill="1" applyAlignment="1">
      <alignment horizontal="center" vertical="center" wrapText="1"/>
    </xf>
    <xf numFmtId="194" fontId="64" fillId="10" borderId="16" xfId="52" applyNumberFormat="1" applyFont="1" applyFill="1" applyBorder="1" applyAlignment="1">
      <alignment horizontal="right" vertical="center" wrapText="1"/>
    </xf>
    <xf numFmtId="194" fontId="77" fillId="13" borderId="16" xfId="52" applyNumberFormat="1" applyFont="1" applyFill="1" applyBorder="1" applyAlignment="1">
      <alignment horizontal="right" vertical="center" wrapText="1"/>
    </xf>
    <xf numFmtId="195" fontId="64" fillId="10" borderId="16" xfId="52" applyNumberFormat="1" applyFont="1" applyFill="1" applyBorder="1" applyAlignment="1">
      <alignment horizontal="right" vertical="center" wrapText="1"/>
    </xf>
    <xf numFmtId="195" fontId="77" fillId="13" borderId="16" xfId="52" applyNumberFormat="1" applyFont="1" applyFill="1" applyBorder="1" applyAlignment="1">
      <alignment horizontal="right" vertical="center" wrapText="1"/>
    </xf>
    <xf numFmtId="195" fontId="64" fillId="10" borderId="16" xfId="37" applyNumberFormat="1" applyFont="1" applyFill="1" applyBorder="1" applyAlignment="1">
      <alignment horizontal="right" vertical="center" wrapText="1"/>
    </xf>
    <xf numFmtId="168" fontId="80" fillId="10" borderId="0" xfId="119" applyNumberFormat="1" applyFont="1" applyFill="1" applyAlignment="1"/>
    <xf numFmtId="9" fontId="65" fillId="10" borderId="16" xfId="133" applyFont="1" applyFill="1" applyBorder="1" applyAlignment="1">
      <alignment horizontal="right" vertical="center" wrapText="1"/>
    </xf>
    <xf numFmtId="171" fontId="60" fillId="10" borderId="16" xfId="52" applyNumberFormat="1" applyFont="1" applyFill="1" applyBorder="1" applyAlignment="1">
      <alignment horizontal="left" vertical="center" wrapText="1"/>
    </xf>
    <xf numFmtId="171" fontId="81" fillId="10" borderId="16" xfId="52" applyNumberFormat="1" applyFont="1" applyFill="1" applyBorder="1" applyAlignment="1">
      <alignment horizontal="left" vertical="center"/>
    </xf>
    <xf numFmtId="168" fontId="62" fillId="10" borderId="0" xfId="119" applyNumberFormat="1" applyFont="1" applyFill="1" applyAlignment="1">
      <alignment horizontal="left" vertical="center" wrapText="1" indent="1"/>
    </xf>
    <xf numFmtId="166" fontId="65" fillId="10" borderId="0" xfId="137" applyNumberFormat="1" applyFont="1" applyFill="1" applyBorder="1" applyAlignment="1">
      <alignment horizontal="right" vertical="center" wrapText="1"/>
    </xf>
    <xf numFmtId="168" fontId="59" fillId="12" borderId="11" xfId="119" applyNumberFormat="1" applyFont="1" applyFill="1" applyBorder="1" applyAlignment="1">
      <alignment horizontal="left" vertical="center" wrapText="1" indent="1"/>
    </xf>
    <xf numFmtId="171" fontId="61" fillId="10" borderId="11" xfId="49" applyNumberFormat="1" applyFont="1" applyFill="1" applyBorder="1" applyAlignment="1">
      <alignment horizontal="right" vertical="center" wrapText="1"/>
    </xf>
    <xf numFmtId="166" fontId="65" fillId="10" borderId="0" xfId="133" applyNumberFormat="1" applyFont="1" applyFill="1" applyBorder="1" applyAlignment="1">
      <alignment horizontal="right" vertical="center" wrapText="1"/>
    </xf>
    <xf numFmtId="166" fontId="66" fillId="14" borderId="0" xfId="137" applyNumberFormat="1" applyFont="1" applyFill="1" applyBorder="1" applyAlignment="1">
      <alignment horizontal="right" vertical="center" wrapText="1"/>
    </xf>
    <xf numFmtId="168" fontId="59" fillId="12" borderId="14" xfId="119" applyNumberFormat="1" applyFont="1" applyFill="1" applyBorder="1" applyAlignment="1">
      <alignment horizontal="left" vertical="center" wrapText="1" indent="1"/>
    </xf>
    <xf numFmtId="171" fontId="61" fillId="10" borderId="14" xfId="49" applyNumberFormat="1" applyFont="1" applyFill="1" applyBorder="1" applyAlignment="1">
      <alignment horizontal="right" vertical="center" wrapText="1"/>
    </xf>
    <xf numFmtId="168" fontId="54" fillId="12" borderId="14" xfId="119" applyNumberFormat="1" applyFont="1" applyFill="1" applyBorder="1" applyAlignment="1">
      <alignment horizontal="left" vertical="center" wrapText="1" indent="1"/>
    </xf>
    <xf numFmtId="171" fontId="82" fillId="10" borderId="14" xfId="49" applyNumberFormat="1" applyFont="1" applyFill="1" applyBorder="1" applyAlignment="1">
      <alignment horizontal="right" vertical="center" wrapText="1"/>
    </xf>
    <xf numFmtId="171" fontId="68" fillId="12" borderId="16" xfId="49" applyNumberFormat="1" applyFont="1" applyFill="1" applyBorder="1" applyAlignment="1">
      <alignment horizontal="right" vertical="center" wrapText="1"/>
    </xf>
    <xf numFmtId="9" fontId="66" fillId="10" borderId="16" xfId="133" applyFont="1" applyFill="1" applyBorder="1" applyAlignment="1">
      <alignment horizontal="right" vertical="center" wrapText="1"/>
    </xf>
    <xf numFmtId="170" fontId="83" fillId="10" borderId="16" xfId="49" applyNumberFormat="1" applyFont="1" applyFill="1" applyBorder="1" applyAlignment="1">
      <alignment horizontal="right" vertical="center" wrapText="1"/>
    </xf>
    <xf numFmtId="171" fontId="83" fillId="10" borderId="16" xfId="49" applyNumberFormat="1" applyFont="1" applyFill="1" applyBorder="1" applyAlignment="1">
      <alignment horizontal="right" vertical="center" wrapText="1"/>
    </xf>
    <xf numFmtId="171" fontId="60" fillId="10" borderId="12" xfId="49" applyNumberFormat="1" applyFont="1" applyFill="1" applyBorder="1" applyAlignment="1">
      <alignment horizontal="right" vertical="center" wrapText="1"/>
    </xf>
    <xf numFmtId="171" fontId="60" fillId="10" borderId="18" xfId="49" applyNumberFormat="1" applyFont="1" applyFill="1" applyBorder="1" applyAlignment="1">
      <alignment horizontal="right" vertical="center" wrapText="1"/>
    </xf>
    <xf numFmtId="168" fontId="54" fillId="10" borderId="0" xfId="119" applyNumberFormat="1" applyFont="1" applyFill="1" applyAlignment="1">
      <alignment horizontal="left" vertical="center" wrapText="1"/>
    </xf>
    <xf numFmtId="168" fontId="12" fillId="10" borderId="0" xfId="119" applyNumberFormat="1" applyFill="1" applyAlignment="1">
      <alignment horizontal="left"/>
    </xf>
    <xf numFmtId="168" fontId="57" fillId="10" borderId="16" xfId="119" applyNumberFormat="1" applyFont="1" applyFill="1" applyBorder="1" applyAlignment="1">
      <alignment vertical="center" wrapText="1"/>
    </xf>
    <xf numFmtId="168" fontId="57" fillId="10" borderId="0" xfId="119" applyNumberFormat="1" applyFont="1" applyFill="1" applyAlignment="1">
      <alignment vertical="center" wrapText="1"/>
    </xf>
    <xf numFmtId="171" fontId="64" fillId="10" borderId="11" xfId="52" applyNumberFormat="1" applyFont="1" applyFill="1" applyBorder="1" applyAlignment="1">
      <alignment horizontal="right" vertical="center" wrapText="1"/>
    </xf>
    <xf numFmtId="168" fontId="63" fillId="10" borderId="19" xfId="119" applyNumberFormat="1" applyFont="1" applyFill="1" applyBorder="1" applyAlignment="1">
      <alignment horizontal="left" vertical="center" wrapText="1" indent="1"/>
    </xf>
    <xf numFmtId="171" fontId="58" fillId="15" borderId="16" xfId="52" applyNumberFormat="1" applyFont="1" applyFill="1" applyBorder="1" applyAlignment="1">
      <alignment horizontal="left" vertical="center" wrapText="1"/>
    </xf>
    <xf numFmtId="171" fontId="58" fillId="15" borderId="16" xfId="52" applyNumberFormat="1" applyFont="1" applyFill="1" applyBorder="1" applyAlignment="1">
      <alignment horizontal="right" vertical="center" wrapText="1"/>
    </xf>
    <xf numFmtId="171" fontId="58" fillId="16" borderId="16" xfId="52" applyNumberFormat="1" applyFont="1" applyFill="1" applyBorder="1" applyAlignment="1">
      <alignment horizontal="left" vertical="center" wrapText="1"/>
    </xf>
    <xf numFmtId="171" fontId="58" fillId="16" borderId="16" xfId="52" applyNumberFormat="1" applyFont="1" applyFill="1" applyBorder="1" applyAlignment="1">
      <alignment horizontal="right" vertical="center" wrapText="1"/>
    </xf>
    <xf numFmtId="171" fontId="10" fillId="17" borderId="16" xfId="52" applyNumberFormat="1" applyFont="1" applyFill="1" applyBorder="1" applyAlignment="1">
      <alignment horizontal="left" vertical="center" wrapText="1"/>
    </xf>
    <xf numFmtId="170" fontId="10" fillId="17" borderId="16" xfId="52" applyNumberFormat="1" applyFont="1" applyFill="1" applyBorder="1" applyAlignment="1">
      <alignment horizontal="right" vertical="center" wrapText="1"/>
    </xf>
    <xf numFmtId="166" fontId="66" fillId="13" borderId="16" xfId="137" applyNumberFormat="1" applyFont="1" applyFill="1" applyBorder="1" applyAlignment="1">
      <alignment horizontal="right" vertical="center" wrapText="1"/>
    </xf>
    <xf numFmtId="9" fontId="76" fillId="10" borderId="16" xfId="133" applyFont="1" applyFill="1" applyBorder="1" applyAlignment="1">
      <alignment horizontal="center" vertical="center"/>
    </xf>
    <xf numFmtId="171" fontId="76" fillId="10" borderId="16" xfId="52" applyNumberFormat="1" applyFont="1" applyFill="1" applyBorder="1" applyAlignment="1">
      <alignment horizontal="left" vertical="center"/>
    </xf>
    <xf numFmtId="171" fontId="0" fillId="0" borderId="0" xfId="37" applyNumberFormat="1" applyFont="1"/>
    <xf numFmtId="10" fontId="0" fillId="0" borderId="0" xfId="133" applyNumberFormat="1" applyFont="1"/>
    <xf numFmtId="167" fontId="2" fillId="0" borderId="0" xfId="0" applyNumberFormat="1" applyFont="1"/>
    <xf numFmtId="168" fontId="0" fillId="0" borderId="0" xfId="0" applyNumberFormat="1"/>
    <xf numFmtId="171" fontId="0" fillId="0" borderId="0" xfId="0" applyNumberFormat="1"/>
    <xf numFmtId="171" fontId="2" fillId="0" borderId="0" xfId="0" applyNumberFormat="1" applyFont="1"/>
    <xf numFmtId="171" fontId="64" fillId="14" borderId="16" xfId="52" applyNumberFormat="1" applyFont="1" applyFill="1" applyBorder="1" applyAlignment="1">
      <alignment horizontal="left" vertical="center" wrapText="1"/>
    </xf>
    <xf numFmtId="9" fontId="77" fillId="14" borderId="13" xfId="133" applyFont="1" applyFill="1" applyBorder="1" applyAlignment="1">
      <alignment horizontal="right" vertical="center" wrapText="1"/>
    </xf>
    <xf numFmtId="171" fontId="60" fillId="14" borderId="16" xfId="52" applyNumberFormat="1" applyFont="1" applyFill="1" applyBorder="1" applyAlignment="1">
      <alignment horizontal="left" vertical="center" wrapText="1"/>
    </xf>
    <xf numFmtId="171" fontId="60" fillId="14" borderId="16" xfId="52" applyNumberFormat="1" applyFont="1" applyFill="1" applyBorder="1" applyAlignment="1">
      <alignment horizontal="right" vertical="center" wrapText="1"/>
    </xf>
    <xf numFmtId="9" fontId="60" fillId="14" borderId="16" xfId="133" applyFont="1" applyFill="1" applyBorder="1" applyAlignment="1">
      <alignment horizontal="right" vertical="center" wrapText="1"/>
    </xf>
    <xf numFmtId="171" fontId="64" fillId="14" borderId="16" xfId="52" applyNumberFormat="1" applyFont="1" applyFill="1" applyBorder="1" applyAlignment="1">
      <alignment horizontal="right" vertical="center" wrapText="1"/>
    </xf>
    <xf numFmtId="171" fontId="60" fillId="14" borderId="16" xfId="52" quotePrefix="1" applyNumberFormat="1" applyFont="1" applyFill="1" applyBorder="1" applyAlignment="1">
      <alignment horizontal="left" vertical="center" wrapText="1"/>
    </xf>
    <xf numFmtId="170" fontId="60" fillId="14" borderId="16" xfId="52" applyNumberFormat="1" applyFont="1" applyFill="1" applyBorder="1" applyAlignment="1">
      <alignment horizontal="right" vertical="center" wrapText="1"/>
    </xf>
    <xf numFmtId="171" fontId="65" fillId="14" borderId="16" xfId="52" applyNumberFormat="1" applyFont="1" applyFill="1" applyBorder="1" applyAlignment="1">
      <alignment horizontal="left" vertical="center" wrapText="1"/>
    </xf>
    <xf numFmtId="171" fontId="65" fillId="14" borderId="16" xfId="52" applyNumberFormat="1" applyFont="1" applyFill="1" applyBorder="1" applyAlignment="1">
      <alignment horizontal="right" vertical="center" wrapText="1"/>
    </xf>
    <xf numFmtId="43" fontId="65" fillId="10" borderId="16" xfId="37" applyFont="1" applyFill="1" applyBorder="1" applyAlignment="1">
      <alignment horizontal="right" vertical="center" wrapText="1"/>
    </xf>
  </cellXfs>
  <cellStyles count="185">
    <cellStyle name="_x000a_386grabber=M" xfId="1" xr:uid="{E3E2052C-4642-4560-B55B-985EB74EBA2C}"/>
    <cellStyle name="_x000a_386grabber=M 2" xfId="2" xr:uid="{924CDCEB-5197-492C-BECD-4FF1991C503A}"/>
    <cellStyle name="_x000a_386grabber=M 3" xfId="3" xr:uid="{7649CACC-DA32-4DB2-9A8A-06498272D49F}"/>
    <cellStyle name="# ##0" xfId="4" xr:uid="{0DFD787D-633D-4362-9113-20AF0E975FB5}"/>
    <cellStyle name="******************************************" xfId="5" xr:uid="{2BC17447-B472-43D1-85B7-E7E806785F46}"/>
    <cellStyle name="?? [0]_89 2Q?????" xfId="6" xr:uid="{686C4B17-A435-4C7C-8FFE-EDB418F88085}"/>
    <cellStyle name="?????_QTBLNEW" xfId="7" xr:uid="{FD238AB8-4EA6-487B-B3F5-831B26E75BE8}"/>
    <cellStyle name="???[0]_89 2Q?????" xfId="8" xr:uid="{E5651573-2791-4578-9311-628381A28DA4}"/>
    <cellStyle name="???_89 2Q?????" xfId="9" xr:uid="{578345F9-396E-4D76-ACBA-4D3B4125774E}"/>
    <cellStyle name="??_89 2Q?????" xfId="10" xr:uid="{BCEF40C3-6BA9-45E5-B354-C78DB443F7B6}"/>
    <cellStyle name="_HEI 0500b" xfId="11" xr:uid="{A78F6BB3-996A-482B-AD56-707C54DF00E6}"/>
    <cellStyle name="_hei 1200.xls Chart 1" xfId="12" xr:uid="{F312116C-030B-458B-A40B-08F956B5D6A2}"/>
    <cellStyle name="_HEI sensitivity 2b" xfId="13" xr:uid="{19239933-B2A1-40A9-9610-542CC7E3EB37}"/>
    <cellStyle name="_Oji Paper jan07" xfId="14" xr:uid="{8F9D0141-CA3E-4884-8436-BCF3008A52A3}"/>
    <cellStyle name="_Quarterly Templates_revised3" xfId="15" xr:uid="{234E52C2-4191-4231-8501-AFBD04694795}"/>
    <cellStyle name="_SEC earnings model" xfId="16" xr:uid="{7D39E49F-A22D-4161-B9F4-28C59B26A3F7}"/>
    <cellStyle name="_SEC March 2001" xfId="17" xr:uid="{5D8C01B8-9777-4833-AE55-C6BB9D5C7977}"/>
    <cellStyle name="_SEC PL Change(7Jun04)" xfId="18" xr:uid="{9A3E61FA-C65D-4C25-A9AE-66605F71C45D}"/>
    <cellStyle name="_Stock Template v011" xfId="19" xr:uid="{7FD0106D-B61C-4859-8EA0-9CC1FC25E6D8}"/>
    <cellStyle name="_Template Stats" xfId="20" xr:uid="{B5EAB15D-4AB7-408B-8AA0-27182F54D8BC}"/>
    <cellStyle name="¤@¯ë_Capcity" xfId="21" xr:uid="{190A97F9-8962-44D4-AD86-DA1A6A33C408}"/>
    <cellStyle name="=C:\WINNT35\SYSTEM32\COMMAND.COM" xfId="22" xr:uid="{8C170A45-E0FA-4397-B5FB-901C7C81B45B}"/>
    <cellStyle name="=D:\WINNT\SYSTEM32\COMMAND.COM" xfId="23" xr:uid="{BE364DE2-B07A-45C9-B230-4A77DEB7F508}"/>
    <cellStyle name="§Q\?1@" xfId="24" xr:uid="{D4665C9D-A316-453B-ADB3-1B636A56397B}"/>
    <cellStyle name="Accent Yellow" xfId="25" xr:uid="{2E94F693-B2B3-4C3D-9753-FCA7781FC947}"/>
    <cellStyle name="AFE" xfId="26" xr:uid="{38DDD1A1-EA44-48ED-9519-EBA4F9C6F917}"/>
    <cellStyle name="Analyst Name" xfId="27" xr:uid="{4A9536A7-8FD7-40B3-83B3-FFEE54B3C795}"/>
    <cellStyle name="ations]_x000d__x000a_Number=1_x000d__x000a_Microsoft Excel=0_x000d__x000a__x000d__x000a_[FileManager]_x000d__x000a_Flags=4_x000d__x000a_Column0=41_x000d__x000a_Column1=55_x000d__x000a_Column2=63_x000d_" xfId="28" xr:uid="{030F47DC-1419-4E69-BDC2-C8E72D75DE7C}"/>
    <cellStyle name="ations]_x000d__x000a_Number=1_x000d__x000a_Microsoft Excel=0_x000d__x000a__x000d__x000a_[FileManager]_x000d__x000a_Flags=4_x000d__x000a_Column0=41_x000d__x000a_Column1=55_x000d__x000a_Column2=63_x000d_ 2" xfId="29" xr:uid="{17848A52-9B3D-47D5-83F1-D3DB655A1EF4}"/>
    <cellStyle name="Availability" xfId="30" xr:uid="{EBC64178-6E5D-454F-B1C2-B49895716446}"/>
    <cellStyle name="Background" xfId="31" xr:uid="{99DDD388-3EA6-458E-A238-280E8776D614}"/>
    <cellStyle name="blank" xfId="32" xr:uid="{84D23F86-2E68-44D1-B640-2ED9CA0765DE}"/>
    <cellStyle name="Blue" xfId="33" xr:uid="{07074A3C-FD1C-4139-9EB5-2277A950E44D}"/>
    <cellStyle name="Border" xfId="34" xr:uid="{1A7603BF-AD2B-410F-8B92-418CEEFDF5AE}"/>
    <cellStyle name="Ç¥ÁØ_´Ü°èº° ±¸Ãà¾È" xfId="35" xr:uid="{A354F572-CF2A-43EB-B2BD-BE87EB08EFD7}"/>
    <cellStyle name="ColHeading" xfId="36" xr:uid="{18347443-8B45-4470-8B12-0628E1DCBDC8}"/>
    <cellStyle name="Comma" xfId="37" builtinId="3"/>
    <cellStyle name="Comma  - Style1" xfId="38" xr:uid="{D093C4E1-7361-4DA1-A4F7-18831A535514}"/>
    <cellStyle name="Comma  - Style2" xfId="39" xr:uid="{07379A80-C235-4E2D-8677-293B25A8B419}"/>
    <cellStyle name="Comma  - Style3" xfId="40" xr:uid="{C0DB226B-BE74-4638-AEAA-6D3E76A5AE6C}"/>
    <cellStyle name="Comma  - Style4" xfId="41" xr:uid="{4D1DA01D-113B-4432-8E21-DD960910D42E}"/>
    <cellStyle name="Comma  - Style5" xfId="42" xr:uid="{87C6385F-C6B8-49F0-8B83-0F60DB8C7ACA}"/>
    <cellStyle name="Comma  - Style6" xfId="43" xr:uid="{85F672D2-379D-4303-B662-0F37B5CB9B57}"/>
    <cellStyle name="Comma  - Style7" xfId="44" xr:uid="{B072CF89-BBC4-4D11-818D-026B291E4128}"/>
    <cellStyle name="Comma  - Style8" xfId="45" xr:uid="{CF4CFD15-637F-419B-89B6-56F7299B836D}"/>
    <cellStyle name="Comma [0] 2" xfId="46" xr:uid="{735F18D4-EF1F-49C8-8F16-39221DA58BF6}"/>
    <cellStyle name="Comma 10" xfId="47" xr:uid="{10EC39AF-5537-4D9E-9084-BA52757242D4}"/>
    <cellStyle name="Comma 12" xfId="48" xr:uid="{9FBBFB9F-E45B-4A1A-902D-665C43E3455A}"/>
    <cellStyle name="Comma 2" xfId="49" xr:uid="{B55D03E7-6275-4101-BAC5-1B3289CBD88E}"/>
    <cellStyle name="Comma 2 2 2" xfId="50" xr:uid="{4D465F9C-068A-45B7-B99B-BF94E94E9406}"/>
    <cellStyle name="Comma 3" xfId="51" xr:uid="{6E79158D-0BD8-4FA9-9CA6-BB0A355A841C}"/>
    <cellStyle name="Comma 3 2" xfId="52" xr:uid="{5FFA7C79-E779-463B-AECF-499FB0B2FB61}"/>
    <cellStyle name="Comma 4" xfId="53" xr:uid="{074C3E13-A326-49DA-A250-181500A20205}"/>
    <cellStyle name="Comma 5" xfId="54" xr:uid="{C8E52680-D1AC-4B9F-9207-3F4A704AF070}"/>
    <cellStyle name="Comma 6" xfId="55" xr:uid="{E921E851-324D-4A79-BC35-3B68489A39F7}"/>
    <cellStyle name="Comma, 1 dec" xfId="56" xr:uid="{BE3EEAA5-A4DC-413C-A75E-8FBD2CD67F13}"/>
    <cellStyle name="Comma.1" xfId="57" xr:uid="{DFAB4E48-6570-417E-B6A4-9A2167EC8CDC}"/>
    <cellStyle name="Comma.2" xfId="58" xr:uid="{22215E1F-0148-4192-A254-B2B120F1C240}"/>
    <cellStyle name="Comment" xfId="59" xr:uid="{E2CD1F0F-51BC-4883-876C-0C18B2CA7CB8}"/>
    <cellStyle name="Company" xfId="60" xr:uid="{82A44780-3D98-4736-8AFC-DE19B99E6A84}"/>
    <cellStyle name="Currency [0] 2" xfId="61" xr:uid="{A16A9C30-F56A-4583-A074-5202067F9105}"/>
    <cellStyle name="Currency 2" xfId="62" xr:uid="{63A8E30A-4B73-4C96-933C-18E7CB4C6932}"/>
    <cellStyle name="Currency 3" xfId="63" xr:uid="{B630CB71-97A9-4B0E-BF23-130E0F25DC2E}"/>
    <cellStyle name="Currency 4" xfId="64" xr:uid="{01B3A70E-5B4C-48A8-80E6-B4CB7B8346E6}"/>
    <cellStyle name="Currency 5" xfId="65" xr:uid="{6AAB5564-5923-402A-8AB0-FA3474B892F9}"/>
    <cellStyle name="Currency.1" xfId="66" xr:uid="{A3262B92-8448-4BF5-8733-D9C9449875E7}"/>
    <cellStyle name="Currency.2" xfId="67" xr:uid="{EAC2F19B-8D01-4B73-BA09-A35FDF1B0D8D}"/>
    <cellStyle name="CustomStyle1" xfId="68" xr:uid="{A0659609-908B-4503-9FBA-93EEFD443E22}"/>
    <cellStyle name="CustomStyle10" xfId="69" xr:uid="{4A060350-B987-4918-BD5F-F127FD4CD9D1}"/>
    <cellStyle name="CustomStyle11" xfId="70" xr:uid="{6AE212DB-6335-43A6-888B-4ADF972C3EFB}"/>
    <cellStyle name="CustomStyle12" xfId="71" xr:uid="{0D718157-1FA6-4C46-ADFD-31FEA6A45C45}"/>
    <cellStyle name="CustomStyle13" xfId="72" xr:uid="{01E92CC9-7581-46F3-9F97-D7E745E34EAF}"/>
    <cellStyle name="CustomStyle14" xfId="73" xr:uid="{D7550613-3F60-499F-85A4-71DA2E88CA53}"/>
    <cellStyle name="CustomStyle15" xfId="74" xr:uid="{CC7A3BF7-F7C4-418E-93DD-C63A7CFD3663}"/>
    <cellStyle name="CustomStyle16" xfId="75" xr:uid="{3736C8C4-55FD-43BD-A0FC-34A678D80DF4}"/>
    <cellStyle name="CustomStyle2" xfId="76" xr:uid="{48E501C5-9753-4F4B-9BB1-4AE8A653D7E5}"/>
    <cellStyle name="CustomStyle3" xfId="77" xr:uid="{3D997476-7B5E-4B30-AD82-2796E99F64B9}"/>
    <cellStyle name="CustomStyle4" xfId="78" xr:uid="{2C6B13C1-8B0C-4516-ACEB-777C8E179FED}"/>
    <cellStyle name="CustomStyle5" xfId="79" xr:uid="{40FE9EA0-A7DF-47C3-9DF7-6B4F90433853}"/>
    <cellStyle name="CustomStyle6" xfId="80" xr:uid="{DDC46A78-D984-44B5-9712-F42FC23FAB27}"/>
    <cellStyle name="CustomStyle8" xfId="81" xr:uid="{D91B892C-1B79-4044-8B7A-21929121BF59}"/>
    <cellStyle name="CustomStyle9" xfId="82" xr:uid="{3D1DFB31-397F-41FA-9A50-C174501D02EB}"/>
    <cellStyle name="Data (mio Rp)" xfId="83" xr:uid="{1247B421-B4C6-469C-BA3D-5C31F1270E0D}"/>
    <cellStyle name="DataEntry" xfId="84" xr:uid="{D41DA167-C8A7-4EE6-845A-19831A889153}"/>
    <cellStyle name="DataEntry%" xfId="85" xr:uid="{42424879-8F71-4B67-AE12-6A3F467D57F0}"/>
    <cellStyle name="Date" xfId="86" xr:uid="{9C77A590-BF7C-48C5-ABC9-1282843424C9}"/>
    <cellStyle name="Decimal2" xfId="87" xr:uid="{A309A76B-24DA-4AF8-8145-97C96087119E}"/>
    <cellStyle name="Decimal3" xfId="88" xr:uid="{98DB035E-C063-4527-A78F-7F7CF8E6947C}"/>
    <cellStyle name="Dezimal [0]_erstkonsolidierung 030800" xfId="89" xr:uid="{45D895FF-3891-40DC-82A1-3DABFA1C1BE5}"/>
    <cellStyle name="Dezimal_erstkonsolidierung 030800" xfId="90" xr:uid="{C4ECD446-6B0C-4361-9651-09892441D388}"/>
    <cellStyle name="Euro" xfId="91" xr:uid="{FFBA9F6E-3EDA-4070-AA18-2857135CBF36}"/>
    <cellStyle name="Grey" xfId="92" xr:uid="{5F789978-AD00-49FE-ABA3-7EA92A717717}"/>
    <cellStyle name="hard no." xfId="93" xr:uid="{A7137301-6FFF-4AB0-B60F-FB504CD37D51}"/>
    <cellStyle name="Heading" xfId="94" xr:uid="{CD94C83F-6F86-4FE9-9DD0-3F35B5DA7B86}"/>
    <cellStyle name="Input [yellow]" xfId="95" xr:uid="{47E7DD4F-0316-458D-A13E-AC31311B59D0}"/>
    <cellStyle name="Input%" xfId="96" xr:uid="{CB5EFBFD-B604-45B2-88E0-A1C34BA0005A}"/>
    <cellStyle name="InputDate" xfId="97" xr:uid="{6BF813D1-9B58-4E65-A7B6-3458DD12403C}"/>
    <cellStyle name="InputDecimal" xfId="98" xr:uid="{91D84A09-23AC-4205-B015-46E9D42D905C}"/>
    <cellStyle name="InputDescriptions" xfId="99" xr:uid="{BBDC8000-56ED-429E-BD36-3DA51A869576}"/>
    <cellStyle name="InputHeader" xfId="100" xr:uid="{A97FD159-202D-4DB9-B344-84BD46A0FD7E}"/>
    <cellStyle name="InputHeading1" xfId="101" xr:uid="{0183DE51-E662-450A-BB6A-02039E4E6E53}"/>
    <cellStyle name="InputStyle" xfId="102" xr:uid="{FA6D9E5E-7CFF-47BF-8DDE-11DB9178522C}"/>
    <cellStyle name="InputValue" xfId="103" xr:uid="{737DA32B-2FD6-47E0-AA12-1E4F00A4B382}"/>
    <cellStyle name="Integer" xfId="104" xr:uid="{FE4966F2-839B-47C9-8E05-40677CF9CE4D}"/>
    <cellStyle name="InvertMSCurrency" xfId="105" xr:uid="{3D051745-0C28-46F7-9BBD-A52761E7E332}"/>
    <cellStyle name="Item" xfId="106" xr:uid="{C09B6F0A-88AE-454A-9CF1-7121E67CCAFD}"/>
    <cellStyle name="ItemTypeClass" xfId="107" xr:uid="{E51090A1-7B5C-4B4E-8468-FBD27C49CBF8}"/>
    <cellStyle name="Locked" xfId="108" xr:uid="{E7062DAE-D209-46E4-BEAB-327BC1EE8892}"/>
    <cellStyle name="MAND_x000d_CHECK.COMMAND_x000e_RENAME.COMMAND_x0008_SHOW.BAR_x000b_DELETE.MENU_x000e_DELETE.COMMAND_x000e_GET.CHA" xfId="109" xr:uid="{C8EBCA70-139B-4808-88CD-502A7EAEBEC4}"/>
    <cellStyle name="Migliaia (0)_Altri allegati (civilistico)" xfId="110" xr:uid="{FE9A9E18-CC25-4A72-AA1D-DAE3BAEEA121}"/>
    <cellStyle name="Migliaia_Altri allegati (civilistico)" xfId="111" xr:uid="{7D79E2C9-9B64-433C-A4D3-1E7790C76279}"/>
    <cellStyle name="MSCurrency" xfId="112" xr:uid="{2D9392F8-11B0-49E0-B90E-D82EFF5B0B4C}"/>
    <cellStyle name="Normal" xfId="0" builtinId="0"/>
    <cellStyle name="Normal - Style1" xfId="113" xr:uid="{7520127B-77FF-4DCC-96F8-DB589115CCEC}"/>
    <cellStyle name="Normal (no,)" xfId="114" xr:uid="{4427748D-F5B0-4526-AFE4-45E01D4F90B9}"/>
    <cellStyle name="Normal 10" xfId="115" xr:uid="{F5C6107B-CA88-4018-BE64-16F85A14E723}"/>
    <cellStyle name="Normal 2" xfId="116" xr:uid="{4FD12739-0ADD-4033-9BC5-3AADFD9095E7}"/>
    <cellStyle name="Normal 2 2" xfId="117" xr:uid="{8C8B9CDF-40F9-48A8-8953-7D6130ECE6CB}"/>
    <cellStyle name="Normal 27" xfId="118" xr:uid="{D04E71DA-BDCF-492C-B25F-D19A09E55AB8}"/>
    <cellStyle name="Normal 3" xfId="119" xr:uid="{98559D4E-47D1-4C84-9187-D59D429332BA}"/>
    <cellStyle name="Normal 3 2" xfId="120" xr:uid="{AB0011C1-9163-4285-82B8-CC0F4F7EAB99}"/>
    <cellStyle name="Normal 4" xfId="121" xr:uid="{87D978BD-A220-421D-AB40-D626A69226DA}"/>
    <cellStyle name="Normal 5" xfId="122" xr:uid="{DC7D413E-46DD-4ACF-9BEF-01CEDBAC5D43}"/>
    <cellStyle name="Normal 6" xfId="123" xr:uid="{AF1A4BBF-C019-44B3-9AF4-2AB031E7BB81}"/>
    <cellStyle name="Normal 7" xfId="124" xr:uid="{5FBEF510-40B3-43D2-A312-E2328628C2A3}"/>
    <cellStyle name="Normal 8" xfId="125" xr:uid="{BD091F2A-43D5-4E62-A1F6-389D12FBCCCD}"/>
    <cellStyle name="Normal 9" xfId="126" xr:uid="{3717E2C6-7E10-4431-8719-1CB33002E99A}"/>
    <cellStyle name="Normale_Altri allegati (civilistico)" xfId="127" xr:uid="{4CCA6298-CCCF-49D9-B72D-D810562C26E1}"/>
    <cellStyle name="Notes" xfId="128" xr:uid="{058C8D2C-A29C-4642-8027-43BC1BAFFBD4}"/>
    <cellStyle name="Number" xfId="129" xr:uid="{87E8DE4D-3031-4970-B504-F14C89CE81D8}"/>
    <cellStyle name="Œ…‹æØ‚è [0.00]_PRODUCT DETAIL Q1" xfId="130" xr:uid="{351BEEF5-595E-4CD3-985A-5B407761BFF1}"/>
    <cellStyle name="Œ…‹æØ‚è_PRODUCT DETAIL Q1" xfId="131" xr:uid="{CA05F941-7831-4036-A1DD-02CDF4DBB2C2}"/>
    <cellStyle name="Override" xfId="132" xr:uid="{E26DC86B-09B5-42A7-947A-2C6B93444A8C}"/>
    <cellStyle name="Percent" xfId="133" builtinId="5"/>
    <cellStyle name="Percent (0.0)" xfId="134" xr:uid="{6BE1BB06-5737-4589-9EF4-4A11CD807604}"/>
    <cellStyle name="Percent (0.00)" xfId="135" xr:uid="{5BA20CD8-12AA-407C-A8D4-63F6B172B411}"/>
    <cellStyle name="Percent [2]" xfId="136" xr:uid="{6E157F2A-9FAE-4EDD-A1CC-836802756A8E}"/>
    <cellStyle name="Percent 2" xfId="137" xr:uid="{63D674AF-FFB8-4F4B-9CEC-005A09A1FD2F}"/>
    <cellStyle name="Percent 3" xfId="138" xr:uid="{BDCE3E5E-E55F-4A60-9681-35C5A09C6694}"/>
    <cellStyle name="Percent 3 2" xfId="139" xr:uid="{0642B167-0D30-4FBE-AABE-7A310A9283C0}"/>
    <cellStyle name="Percent 4" xfId="140" xr:uid="{04EC53B9-BFC8-4D83-927D-1EAB65AE532D}"/>
    <cellStyle name="Percent 5" xfId="141" xr:uid="{D1992A7E-C208-4120-B797-56CC7AD1F816}"/>
    <cellStyle name="Percent 6" xfId="142" xr:uid="{0C6121D1-359F-4F12-967E-5A3CDAA16E8D}"/>
    <cellStyle name="Percent.1" xfId="143" xr:uid="{83C00900-A77D-4C06-8DC1-42BCC9DCD01C}"/>
    <cellStyle name="Percent.2" xfId="144" xr:uid="{B810A1F8-5F4E-4248-BB91-786DBEE4C022}"/>
    <cellStyle name="PlanData" xfId="145" xr:uid="{23320667-DB35-488C-8E10-20A416BFB922}"/>
    <cellStyle name="PlanPeriod" xfId="146" xr:uid="{94258CF9-8B38-4C0D-AE1C-41FD810C6363}"/>
    <cellStyle name="PlanTerm" xfId="147" xr:uid="{58D3D0C9-9E25-414C-936B-5E7246490283}"/>
    <cellStyle name="ProgramVariable" xfId="148" xr:uid="{E6B5CA17-41FC-4D4C-A527-BB1EC726A5E7}"/>
    <cellStyle name="Ref Numbers" xfId="149" xr:uid="{3E73A522-C5B1-4F47-BC81-D9E4A8619A8C}"/>
    <cellStyle name="Report" xfId="150" xr:uid="{C36CEEC1-3992-4761-8BC6-44FBCF8429DC}"/>
    <cellStyle name="SectionHeading" xfId="151" xr:uid="{753D4633-099A-4026-A8E1-674993F5BB7A}"/>
    <cellStyle name="SheetTitle" xfId="152" xr:uid="{34337ED6-9102-410E-8049-175A2CE218A1}"/>
    <cellStyle name="Source Line" xfId="153" xr:uid="{66575228-952E-4A4F-9601-44A9E1431B66}"/>
    <cellStyle name="StatementTerm" xfId="154" xr:uid="{0A91538A-9D34-4032-9F76-63A7A22289EC}"/>
    <cellStyle name="Style 1" xfId="155" xr:uid="{A6813BD9-5E71-4C7B-831B-ADA7E9540A4D}"/>
    <cellStyle name="Table figs roman" xfId="156" xr:uid="{15199A53-26CE-42F4-9238-F2B1AB614418}"/>
    <cellStyle name="Table Heading" xfId="157" xr:uid="{853773A6-5673-4E1A-95BA-C878C5BA6F50}"/>
    <cellStyle name="Table text" xfId="158" xr:uid="{A034C861-1C5C-48A1-BD17-C60169B78B2F}"/>
    <cellStyle name="Table text Bold" xfId="159" xr:uid="{3EB96F84-AB22-467B-8BE1-F3F1EA3EAEB3}"/>
    <cellStyle name="times" xfId="160" xr:uid="{086AB94D-5BD2-450C-9C8C-EDE723E8DE8F}"/>
    <cellStyle name="Times New Roman" xfId="161" xr:uid="{D97EFBA1-77DC-4ED9-91A6-80422FAA6E75}"/>
    <cellStyle name="Title Line" xfId="162" xr:uid="{6EC67B98-1094-4963-8841-C642D891087F}"/>
    <cellStyle name="title2" xfId="163" xr:uid="{FC9BD5E0-6A40-4519-A17C-80704A4C82CE}"/>
    <cellStyle name="TitleBar" xfId="164" xr:uid="{CAFF5F01-6AAC-4FD2-8F69-F91A8DD2E5E7}"/>
    <cellStyle name="Titles" xfId="165" xr:uid="{6C0B6A56-FC0A-47E8-8779-67C326EEA41D}"/>
    <cellStyle name="Top Row" xfId="166" xr:uid="{2134DA1A-EC43-4C88-81E5-08DFF7A61DEF}"/>
    <cellStyle name="topline" xfId="167" xr:uid="{6C3BFFD4-3267-4649-8DB0-97A97C70CC63}"/>
    <cellStyle name="Total Row" xfId="168" xr:uid="{1516F1F9-513C-439F-8EAE-C37B4B99CB4F}"/>
    <cellStyle name="Undefined" xfId="169" xr:uid="{5D864735-8673-44F2-8DDE-DF575EF1FE22}"/>
    <cellStyle name="Valuta (0)_Altri allegati (civilistico)" xfId="170" xr:uid="{FB74BF0C-9013-4277-B56B-9549F0F57C8C}"/>
    <cellStyle name="Valuta_Altri allegati (civilistico)" xfId="171" xr:uid="{6311E0B6-8EB1-4744-879A-7D84EE79A926}"/>
    <cellStyle name="Währung [0]_erstkonsolidierung 030800" xfId="172" xr:uid="{75FFF569-C91B-4B3B-BC2E-6E4D7C7BBAAA}"/>
    <cellStyle name="Währung_erstkonsolidierung 030800" xfId="173" xr:uid="{72C1F84B-7F52-4413-94AE-7067716BBF67}"/>
    <cellStyle name="Гиперссылка_LUK_DataBook 2005_R_Fields" xfId="174" xr:uid="{F301AB2D-EA8D-4E2B-A47A-2BBC7BE6B5D7}"/>
    <cellStyle name="Обычный 2" xfId="175" xr:uid="{30011C6F-3504-4929-8025-25F334E02984}"/>
    <cellStyle name="Обычный_DB 2007 full eng" xfId="176" xr:uid="{FACDB6FF-468B-4F57-A860-AB701C9EA1B8}"/>
    <cellStyle name="Финансовый_db2010eng" xfId="177" xr:uid="{AB4EB21D-2053-43BC-9245-3524E97D33B0}"/>
    <cellStyle name="백분율 2" xfId="178" xr:uid="{7D540FB2-CADB-4BAE-823A-035E318628C0}"/>
    <cellStyle name="쉼표 [0] 2" xfId="179" xr:uid="{330932C4-0A03-42AD-A130-4578D6FCEEF3}"/>
    <cellStyle name="콤마 [0]_SEC001024" xfId="180" xr:uid="{782BCFD9-12D6-4D29-8E87-8F790E15435F}"/>
    <cellStyle name="콤마_Anam Q300 Survey" xfId="181" xr:uid="{B67C49E8-3D17-4B54-AA69-9EC3948A259E}"/>
    <cellStyle name="표준 2" xfId="182" xr:uid="{D0E50015-641E-4229-96A8-B4C500878507}"/>
    <cellStyle name="표준_1Q2007_PPT format (master)v0" xfId="183" xr:uid="{74179EEE-4D92-4FD8-BC23-630BB044C222}"/>
    <cellStyle name="標準_MEIEarningsModel030821" xfId="184" xr:uid="{6B944520-A9C3-48E0-886B-8FE1E65B497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9151356080489941E-3"/>
                  <c:y val="-0.1811650627004957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'Revenue Model'!$B$5:$K$5</c:f>
              <c:numCache>
                <c:formatCode>_-[$$-409]* #,##0.00_ ;_-[$$-409]* \-#,##0.00\ ;_-[$$-409]* "-"??_ ;_-@_ </c:formatCode>
                <c:ptCount val="10"/>
                <c:pt idx="0">
                  <c:v>2.7994764316613439</c:v>
                </c:pt>
                <c:pt idx="1">
                  <c:v>2.9628347421413168</c:v>
                </c:pt>
                <c:pt idx="2">
                  <c:v>2.7227203300380998</c:v>
                </c:pt>
                <c:pt idx="3">
                  <c:v>2.8022064626020855</c:v>
                </c:pt>
                <c:pt idx="4">
                  <c:v>4.2267302589525926</c:v>
                </c:pt>
                <c:pt idx="5">
                  <c:v>4.0334621635465266</c:v>
                </c:pt>
                <c:pt idx="6">
                  <c:v>3.8639892297525722</c:v>
                </c:pt>
                <c:pt idx="7">
                  <c:v>4.0494645342312401</c:v>
                </c:pt>
                <c:pt idx="8">
                  <c:v>4.5600732542768467</c:v>
                </c:pt>
                <c:pt idx="9">
                  <c:v>6.1104902062751361</c:v>
                </c:pt>
              </c:numCache>
            </c:numRef>
          </c:xVal>
          <c:yVal>
            <c:numRef>
              <c:f>'Cost Model'!$B$6:$J$6</c:f>
              <c:numCache>
                <c:formatCode>0.0%</c:formatCode>
                <c:ptCount val="9"/>
                <c:pt idx="0">
                  <c:v>0.62842163018959951</c:v>
                </c:pt>
                <c:pt idx="1">
                  <c:v>0.62760360747262189</c:v>
                </c:pt>
                <c:pt idx="2">
                  <c:v>0.80325616541869893</c:v>
                </c:pt>
                <c:pt idx="3">
                  <c:v>0.71326947457388368</c:v>
                </c:pt>
                <c:pt idx="4">
                  <c:v>0.52667979864302916</c:v>
                </c:pt>
                <c:pt idx="5">
                  <c:v>0.57374890254609301</c:v>
                </c:pt>
                <c:pt idx="6">
                  <c:v>0.59597462262087075</c:v>
                </c:pt>
                <c:pt idx="7">
                  <c:v>0.61103908858770384</c:v>
                </c:pt>
                <c:pt idx="8">
                  <c:v>0.63183484468454565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2-465E-B037-683DAAE88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929896"/>
        <c:axId val="37704951"/>
      </c:scatterChart>
      <c:valAx>
        <c:axId val="160992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4951"/>
        <c:crosses val="autoZero"/>
        <c:crossBetween val="midCat"/>
      </c:valAx>
      <c:valAx>
        <c:axId val="37704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2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FREEPORT MACMORAN 10 YEAR FREE CASHFLOW SIMULATION</a:t>
            </a:r>
          </a:p>
        </c:rich>
      </c:tx>
      <c:layout>
        <c:manualLayout>
          <c:xMode val="edge"/>
          <c:yMode val="edge"/>
          <c:x val="0.1500550054068600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561975527706926E-2"/>
          <c:y val="0.11109796795762521"/>
          <c:w val="0.87539107611548561"/>
          <c:h val="0.81782417469309554"/>
        </c:manualLayout>
      </c:layout>
      <c:lineChart>
        <c:grouping val="standard"/>
        <c:varyColors val="0"/>
        <c:ser>
          <c:idx val="0"/>
          <c:order val="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RESULTS'!$B$3:$L$3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1931.2672698704473</c:v>
                </c:pt>
                <c:pt idx="2">
                  <c:v>44.80611969255915</c:v>
                </c:pt>
                <c:pt idx="3">
                  <c:v>-208.27736903873847</c:v>
                </c:pt>
                <c:pt idx="4">
                  <c:v>-1905.1487148212227</c:v>
                </c:pt>
                <c:pt idx="5">
                  <c:v>-1994.7770086965129</c:v>
                </c:pt>
                <c:pt idx="6">
                  <c:v>-2752.181883314729</c:v>
                </c:pt>
                <c:pt idx="7">
                  <c:v>-1307.3289262327435</c:v>
                </c:pt>
                <c:pt idx="8">
                  <c:v>-1652.6901749608296</c:v>
                </c:pt>
                <c:pt idx="9">
                  <c:v>-1610.8011867172418</c:v>
                </c:pt>
                <c:pt idx="10">
                  <c:v>-2123.1602857737576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8-4243-BF5B-200471A2688F}"/>
            </c:ext>
          </c:extLst>
        </c:ser>
        <c:ser>
          <c:idx val="1"/>
          <c:order val="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RESULTS'!$B$4:$L$4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2716.8277686233769</c:v>
                </c:pt>
                <c:pt idx="2">
                  <c:v>7521.1298279494204</c:v>
                </c:pt>
                <c:pt idx="3">
                  <c:v>11877.36086048429</c:v>
                </c:pt>
                <c:pt idx="4">
                  <c:v>13192.413696640742</c:v>
                </c:pt>
                <c:pt idx="5">
                  <c:v>14232.873483426549</c:v>
                </c:pt>
                <c:pt idx="6">
                  <c:v>26618.54397911422</c:v>
                </c:pt>
                <c:pt idx="7">
                  <c:v>24353.241879494053</c:v>
                </c:pt>
                <c:pt idx="8">
                  <c:v>39015.277060127097</c:v>
                </c:pt>
                <c:pt idx="9">
                  <c:v>38182.866188319909</c:v>
                </c:pt>
                <c:pt idx="10">
                  <c:v>45640.897970184167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8-4243-BF5B-200471A2688F}"/>
            </c:ext>
          </c:extLst>
        </c:ser>
        <c:ser>
          <c:idx val="2"/>
          <c:order val="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RESULTS'!$B$5:$L$5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7566.8083099560881</c:v>
                </c:pt>
                <c:pt idx="2">
                  <c:v>10120.471071235999</c:v>
                </c:pt>
                <c:pt idx="3">
                  <c:v>13647.626946647346</c:v>
                </c:pt>
                <c:pt idx="4">
                  <c:v>24194.317853625347</c:v>
                </c:pt>
                <c:pt idx="5">
                  <c:v>30391.770521067723</c:v>
                </c:pt>
                <c:pt idx="6">
                  <c:v>28281.917945769637</c:v>
                </c:pt>
                <c:pt idx="7">
                  <c:v>32239.652517348426</c:v>
                </c:pt>
                <c:pt idx="8">
                  <c:v>37060.262568741251</c:v>
                </c:pt>
                <c:pt idx="9">
                  <c:v>51933.555233233128</c:v>
                </c:pt>
                <c:pt idx="10">
                  <c:v>70840.504491828717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8-4243-BF5B-200471A2688F}"/>
            </c:ext>
          </c:extLst>
        </c:ser>
        <c:ser>
          <c:idx val="3"/>
          <c:order val="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RESULTS'!$B$6:$L$6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11392.3672942624</c:v>
                </c:pt>
                <c:pt idx="2">
                  <c:v>15645.152763181108</c:v>
                </c:pt>
                <c:pt idx="3">
                  <c:v>17741.281567123966</c:v>
                </c:pt>
                <c:pt idx="4">
                  <c:v>17461.079082528904</c:v>
                </c:pt>
                <c:pt idx="5">
                  <c:v>14601.346647267856</c:v>
                </c:pt>
                <c:pt idx="6">
                  <c:v>23201.863173099035</c:v>
                </c:pt>
                <c:pt idx="7">
                  <c:v>29495.427464616318</c:v>
                </c:pt>
                <c:pt idx="8">
                  <c:v>20463.799984273122</c:v>
                </c:pt>
                <c:pt idx="9">
                  <c:v>21172.42137430824</c:v>
                </c:pt>
                <c:pt idx="10">
                  <c:v>29858.069848560423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8-4243-BF5B-200471A2688F}"/>
            </c:ext>
          </c:extLst>
        </c:ser>
        <c:ser>
          <c:idx val="4"/>
          <c:order val="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RESULTS'!$B$7:$L$7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3273.9959161815023</c:v>
                </c:pt>
                <c:pt idx="2">
                  <c:v>5465.4061697737598</c:v>
                </c:pt>
                <c:pt idx="3">
                  <c:v>11702.83276632215</c:v>
                </c:pt>
                <c:pt idx="4">
                  <c:v>22507.981091519745</c:v>
                </c:pt>
                <c:pt idx="5">
                  <c:v>18394.741769013886</c:v>
                </c:pt>
                <c:pt idx="6">
                  <c:v>25017.96237538999</c:v>
                </c:pt>
                <c:pt idx="7">
                  <c:v>37343.236187191964</c:v>
                </c:pt>
                <c:pt idx="8">
                  <c:v>37654.795391302039</c:v>
                </c:pt>
                <c:pt idx="9">
                  <c:v>25868.537526652512</c:v>
                </c:pt>
                <c:pt idx="10">
                  <c:v>22771.085921194084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8-4243-BF5B-200471A2688F}"/>
            </c:ext>
          </c:extLst>
        </c:ser>
        <c:ser>
          <c:idx val="5"/>
          <c:order val="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RESULTS'!$B$8:$L$8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5397.0066272983295</c:v>
                </c:pt>
                <c:pt idx="2">
                  <c:v>9807.0860581223169</c:v>
                </c:pt>
                <c:pt idx="3">
                  <c:v>10612.950897591953</c:v>
                </c:pt>
                <c:pt idx="4">
                  <c:v>4217.5207673447894</c:v>
                </c:pt>
                <c:pt idx="5">
                  <c:v>4310.4195232540296</c:v>
                </c:pt>
                <c:pt idx="6">
                  <c:v>4425.6670220382439</c:v>
                </c:pt>
                <c:pt idx="7">
                  <c:v>2002.9480175915924</c:v>
                </c:pt>
                <c:pt idx="8">
                  <c:v>3594.5987997699231</c:v>
                </c:pt>
                <c:pt idx="9">
                  <c:v>7450.2300543991132</c:v>
                </c:pt>
                <c:pt idx="10">
                  <c:v>4465.9883712306892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8-4243-BF5B-200471A2688F}"/>
            </c:ext>
          </c:extLst>
        </c:ser>
        <c:ser>
          <c:idx val="6"/>
          <c:order val="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RESULTS'!$B$9:$L$9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8145.3088283427969</c:v>
                </c:pt>
                <c:pt idx="2">
                  <c:v>10930.607416895693</c:v>
                </c:pt>
                <c:pt idx="3">
                  <c:v>13846.763039318164</c:v>
                </c:pt>
                <c:pt idx="4">
                  <c:v>19904.582502274177</c:v>
                </c:pt>
                <c:pt idx="5">
                  <c:v>24522.205536336103</c:v>
                </c:pt>
                <c:pt idx="6">
                  <c:v>25363.735113934596</c:v>
                </c:pt>
                <c:pt idx="7">
                  <c:v>23796.097402532363</c:v>
                </c:pt>
                <c:pt idx="8">
                  <c:v>25024.455689595543</c:v>
                </c:pt>
                <c:pt idx="9">
                  <c:v>34912.521035642349</c:v>
                </c:pt>
                <c:pt idx="10">
                  <c:v>37348.67775449757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8-4243-BF5B-200471A2688F}"/>
            </c:ext>
          </c:extLst>
        </c:ser>
        <c:ser>
          <c:idx val="7"/>
          <c:order val="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RESULTS'!$B$10:$L$10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8979.6345276798929</c:v>
                </c:pt>
                <c:pt idx="2">
                  <c:v>9757.5210498352426</c:v>
                </c:pt>
                <c:pt idx="3">
                  <c:v>8979.96541112255</c:v>
                </c:pt>
                <c:pt idx="4">
                  <c:v>9226.3393785655699</c:v>
                </c:pt>
                <c:pt idx="5">
                  <c:v>16124.215785120883</c:v>
                </c:pt>
                <c:pt idx="6">
                  <c:v>18614.414141529498</c:v>
                </c:pt>
                <c:pt idx="7">
                  <c:v>21125.185538115104</c:v>
                </c:pt>
                <c:pt idx="8">
                  <c:v>29061.672483815681</c:v>
                </c:pt>
                <c:pt idx="9">
                  <c:v>25908.506584305629</c:v>
                </c:pt>
                <c:pt idx="10">
                  <c:v>36844.317472627343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3C8-4243-BF5B-200471A2688F}"/>
            </c:ext>
          </c:extLst>
        </c:ser>
        <c:ser>
          <c:idx val="8"/>
          <c:order val="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RESULTS'!$B$11:$L$11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9267.1012706565489</c:v>
                </c:pt>
                <c:pt idx="2">
                  <c:v>10722.319967839052</c:v>
                </c:pt>
                <c:pt idx="3">
                  <c:v>13397.791818874106</c:v>
                </c:pt>
                <c:pt idx="4">
                  <c:v>15347.354108954547</c:v>
                </c:pt>
                <c:pt idx="5">
                  <c:v>11205.510277989224</c:v>
                </c:pt>
                <c:pt idx="6">
                  <c:v>10360.075035521406</c:v>
                </c:pt>
                <c:pt idx="7">
                  <c:v>9912.6865820820531</c:v>
                </c:pt>
                <c:pt idx="8">
                  <c:v>11707.066867908537</c:v>
                </c:pt>
                <c:pt idx="9">
                  <c:v>14740.948207237841</c:v>
                </c:pt>
                <c:pt idx="10">
                  <c:v>21203.557448307685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3C8-4243-BF5B-200471A2688F}"/>
            </c:ext>
          </c:extLst>
        </c:ser>
        <c:ser>
          <c:idx val="9"/>
          <c:order val="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RESULTS'!$B$12:$L$12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5456.7808232822263</c:v>
                </c:pt>
                <c:pt idx="2">
                  <c:v>4954.7788352610769</c:v>
                </c:pt>
                <c:pt idx="3">
                  <c:v>1502.2129308083058</c:v>
                </c:pt>
                <c:pt idx="4">
                  <c:v>2412.8469557185499</c:v>
                </c:pt>
                <c:pt idx="5">
                  <c:v>1590.0603307279498</c:v>
                </c:pt>
                <c:pt idx="6">
                  <c:v>2916.4396470509182</c:v>
                </c:pt>
                <c:pt idx="7">
                  <c:v>708.44052479075162</c:v>
                </c:pt>
                <c:pt idx="8">
                  <c:v>1822.9526663334436</c:v>
                </c:pt>
                <c:pt idx="9">
                  <c:v>-767.04603204823252</c:v>
                </c:pt>
                <c:pt idx="10">
                  <c:v>198.0934627463339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3C8-4243-BF5B-200471A2688F}"/>
            </c:ext>
          </c:extLst>
        </c:ser>
        <c:ser>
          <c:idx val="10"/>
          <c:order val="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RESULTS'!$B$13:$L$13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12072.341972975701</c:v>
                </c:pt>
                <c:pt idx="2">
                  <c:v>19903.657230889345</c:v>
                </c:pt>
                <c:pt idx="3">
                  <c:v>7696.3416896920098</c:v>
                </c:pt>
                <c:pt idx="4">
                  <c:v>15909.890645227908</c:v>
                </c:pt>
                <c:pt idx="5">
                  <c:v>9894.4215655780736</c:v>
                </c:pt>
                <c:pt idx="6">
                  <c:v>13984.354541194607</c:v>
                </c:pt>
                <c:pt idx="7">
                  <c:v>19040.732204324573</c:v>
                </c:pt>
                <c:pt idx="8">
                  <c:v>17110.170743062925</c:v>
                </c:pt>
                <c:pt idx="9">
                  <c:v>15624.408933673236</c:v>
                </c:pt>
                <c:pt idx="10">
                  <c:v>19854.415632477692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3C8-4243-BF5B-200471A2688F}"/>
            </c:ext>
          </c:extLst>
        </c:ser>
        <c:ser>
          <c:idx val="11"/>
          <c:order val="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RESULTS'!$B$14:$L$14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7201.5242591642091</c:v>
                </c:pt>
                <c:pt idx="2">
                  <c:v>7720.9275192910663</c:v>
                </c:pt>
                <c:pt idx="3">
                  <c:v>8500.5858887038266</c:v>
                </c:pt>
                <c:pt idx="4">
                  <c:v>13542.54985667011</c:v>
                </c:pt>
                <c:pt idx="5">
                  <c:v>6742.3334289667746</c:v>
                </c:pt>
                <c:pt idx="6">
                  <c:v>6816.601885062586</c:v>
                </c:pt>
                <c:pt idx="7">
                  <c:v>12947.116355921735</c:v>
                </c:pt>
                <c:pt idx="8">
                  <c:v>8711.2996838388663</c:v>
                </c:pt>
                <c:pt idx="9">
                  <c:v>7685.7416908747182</c:v>
                </c:pt>
                <c:pt idx="10">
                  <c:v>12290.683095971872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3C8-4243-BF5B-200471A2688F}"/>
            </c:ext>
          </c:extLst>
        </c:ser>
        <c:ser>
          <c:idx val="12"/>
          <c:order val="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RESULTS'!$B$15:$L$15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4934.4218307222345</c:v>
                </c:pt>
                <c:pt idx="2">
                  <c:v>5055.2811729972655</c:v>
                </c:pt>
                <c:pt idx="3">
                  <c:v>3956.3897552778853</c:v>
                </c:pt>
                <c:pt idx="4">
                  <c:v>3630.1723081876562</c:v>
                </c:pt>
                <c:pt idx="5">
                  <c:v>3223.1747843728008</c:v>
                </c:pt>
                <c:pt idx="6">
                  <c:v>6537.9171206357187</c:v>
                </c:pt>
                <c:pt idx="7">
                  <c:v>6810.2256410138052</c:v>
                </c:pt>
                <c:pt idx="8">
                  <c:v>4416.2107471791987</c:v>
                </c:pt>
                <c:pt idx="9">
                  <c:v>5517.9987734582264</c:v>
                </c:pt>
                <c:pt idx="10">
                  <c:v>2207.5524886516641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3C8-4243-BF5B-200471A2688F}"/>
            </c:ext>
          </c:extLst>
        </c:ser>
        <c:ser>
          <c:idx val="13"/>
          <c:order val="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RESULTS'!$B$16:$L$16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9253.7972662978882</c:v>
                </c:pt>
                <c:pt idx="2">
                  <c:v>10732.66816616741</c:v>
                </c:pt>
                <c:pt idx="3">
                  <c:v>21198.362120655776</c:v>
                </c:pt>
                <c:pt idx="4">
                  <c:v>30170.971708367011</c:v>
                </c:pt>
                <c:pt idx="5">
                  <c:v>34093.599202255726</c:v>
                </c:pt>
                <c:pt idx="6">
                  <c:v>52980.014520312943</c:v>
                </c:pt>
                <c:pt idx="7">
                  <c:v>61158.092716728497</c:v>
                </c:pt>
                <c:pt idx="8">
                  <c:v>87984.845987398134</c:v>
                </c:pt>
                <c:pt idx="9">
                  <c:v>102439.04536443234</c:v>
                </c:pt>
                <c:pt idx="10">
                  <c:v>140183.41929159799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3C8-4243-BF5B-200471A2688F}"/>
            </c:ext>
          </c:extLst>
        </c:ser>
        <c:ser>
          <c:idx val="14"/>
          <c:order val="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RESULTS'!$B$17:$L$17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9757.4730523634862</c:v>
                </c:pt>
                <c:pt idx="2">
                  <c:v>5549.9416480729578</c:v>
                </c:pt>
                <c:pt idx="3">
                  <c:v>11207.46741463233</c:v>
                </c:pt>
                <c:pt idx="4">
                  <c:v>16538.266991989738</c:v>
                </c:pt>
                <c:pt idx="5">
                  <c:v>28803.246312800453</c:v>
                </c:pt>
                <c:pt idx="6">
                  <c:v>34249.901267738125</c:v>
                </c:pt>
                <c:pt idx="7">
                  <c:v>63625.34617992588</c:v>
                </c:pt>
                <c:pt idx="8">
                  <c:v>97497.83749912605</c:v>
                </c:pt>
                <c:pt idx="9">
                  <c:v>191896.2328217836</c:v>
                </c:pt>
                <c:pt idx="10">
                  <c:v>229544.42950867576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3C8-4243-BF5B-200471A2688F}"/>
            </c:ext>
          </c:extLst>
        </c:ser>
        <c:ser>
          <c:idx val="15"/>
          <c:order val="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RESULTS'!$B$18:$L$18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5113.0432489043233</c:v>
                </c:pt>
                <c:pt idx="2">
                  <c:v>5957.5373094308943</c:v>
                </c:pt>
                <c:pt idx="3">
                  <c:v>8885.7739143869003</c:v>
                </c:pt>
                <c:pt idx="4">
                  <c:v>6183.783423270339</c:v>
                </c:pt>
                <c:pt idx="5">
                  <c:v>6078.9127326858652</c:v>
                </c:pt>
                <c:pt idx="6">
                  <c:v>8682.5171614949995</c:v>
                </c:pt>
                <c:pt idx="7">
                  <c:v>14271.786520721322</c:v>
                </c:pt>
                <c:pt idx="8">
                  <c:v>23534.482875617796</c:v>
                </c:pt>
                <c:pt idx="9">
                  <c:v>25523.166192359364</c:v>
                </c:pt>
                <c:pt idx="10">
                  <c:v>37137.788720101969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C8-4243-BF5B-200471A2688F}"/>
            </c:ext>
          </c:extLst>
        </c:ser>
        <c:ser>
          <c:idx val="16"/>
          <c:order val="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RESULTS'!$B$19:$L$19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9997.5844656070876</c:v>
                </c:pt>
                <c:pt idx="2">
                  <c:v>8773.3364904632454</c:v>
                </c:pt>
                <c:pt idx="3">
                  <c:v>10997.461919706973</c:v>
                </c:pt>
                <c:pt idx="4">
                  <c:v>9901.1595164858154</c:v>
                </c:pt>
                <c:pt idx="5">
                  <c:v>9102.2505192394328</c:v>
                </c:pt>
                <c:pt idx="6">
                  <c:v>19526.482557278137</c:v>
                </c:pt>
                <c:pt idx="7">
                  <c:v>29521.941283067958</c:v>
                </c:pt>
                <c:pt idx="8">
                  <c:v>45079.162206975634</c:v>
                </c:pt>
                <c:pt idx="9">
                  <c:v>49718.713615696724</c:v>
                </c:pt>
                <c:pt idx="10">
                  <c:v>40206.115634950191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C8-4243-BF5B-200471A2688F}"/>
            </c:ext>
          </c:extLst>
        </c:ser>
        <c:ser>
          <c:idx val="17"/>
          <c:order val="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RESULTS'!$B$20:$L$20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4668.5992272420226</c:v>
                </c:pt>
                <c:pt idx="2">
                  <c:v>5154.8669770774522</c:v>
                </c:pt>
                <c:pt idx="3">
                  <c:v>7129.4532213718921</c:v>
                </c:pt>
                <c:pt idx="4">
                  <c:v>12401.138812877758</c:v>
                </c:pt>
                <c:pt idx="5">
                  <c:v>19939.282352641563</c:v>
                </c:pt>
                <c:pt idx="6">
                  <c:v>17157.59723423174</c:v>
                </c:pt>
                <c:pt idx="7">
                  <c:v>24247.765155708683</c:v>
                </c:pt>
                <c:pt idx="8">
                  <c:v>27992.747547619238</c:v>
                </c:pt>
                <c:pt idx="9">
                  <c:v>16958.046880556369</c:v>
                </c:pt>
                <c:pt idx="10">
                  <c:v>15218.59937204824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3C8-4243-BF5B-200471A2688F}"/>
            </c:ext>
          </c:extLst>
        </c:ser>
        <c:ser>
          <c:idx val="18"/>
          <c:order val="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RESULTS'!$B$21:$L$21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6375.9610989352532</c:v>
                </c:pt>
                <c:pt idx="2">
                  <c:v>8353.1460792032267</c:v>
                </c:pt>
                <c:pt idx="3">
                  <c:v>5947.6155167073557</c:v>
                </c:pt>
                <c:pt idx="4">
                  <c:v>4814.0157437565686</c:v>
                </c:pt>
                <c:pt idx="5">
                  <c:v>3414.9752197033922</c:v>
                </c:pt>
                <c:pt idx="6">
                  <c:v>3189.5755205615869</c:v>
                </c:pt>
                <c:pt idx="7">
                  <c:v>4420.5079397233003</c:v>
                </c:pt>
                <c:pt idx="8">
                  <c:v>3772.8346991325598</c:v>
                </c:pt>
                <c:pt idx="9">
                  <c:v>4348.4679774480974</c:v>
                </c:pt>
                <c:pt idx="10">
                  <c:v>2513.1152527760505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3C8-4243-BF5B-200471A2688F}"/>
            </c:ext>
          </c:extLst>
        </c:ser>
        <c:ser>
          <c:idx val="19"/>
          <c:order val="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RESULTS'!$B$22:$L$22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4302.2675320143735</c:v>
                </c:pt>
                <c:pt idx="2">
                  <c:v>5080.0686995837277</c:v>
                </c:pt>
                <c:pt idx="3">
                  <c:v>5709.2789448441345</c:v>
                </c:pt>
                <c:pt idx="4">
                  <c:v>12123.234276624193</c:v>
                </c:pt>
                <c:pt idx="5">
                  <c:v>16296.730484448359</c:v>
                </c:pt>
                <c:pt idx="6">
                  <c:v>19374.731354992971</c:v>
                </c:pt>
                <c:pt idx="7">
                  <c:v>19657.491111968582</c:v>
                </c:pt>
                <c:pt idx="8">
                  <c:v>23365.404817345934</c:v>
                </c:pt>
                <c:pt idx="9">
                  <c:v>31124.678572166406</c:v>
                </c:pt>
                <c:pt idx="10">
                  <c:v>36532.087713664805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3C8-4243-BF5B-200471A2688F}"/>
            </c:ext>
          </c:extLst>
        </c:ser>
        <c:ser>
          <c:idx val="20"/>
          <c:order val="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RESULTS'!$B$23:$L$23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6477.3698768714694</c:v>
                </c:pt>
                <c:pt idx="2">
                  <c:v>8516.1524212629774</c:v>
                </c:pt>
                <c:pt idx="3">
                  <c:v>3232.2842001695535</c:v>
                </c:pt>
                <c:pt idx="4">
                  <c:v>7798.1765361930557</c:v>
                </c:pt>
                <c:pt idx="5">
                  <c:v>8758.0286212352585</c:v>
                </c:pt>
                <c:pt idx="6">
                  <c:v>10984.738625360027</c:v>
                </c:pt>
                <c:pt idx="7">
                  <c:v>10695.314362611613</c:v>
                </c:pt>
                <c:pt idx="8">
                  <c:v>13876.955640832919</c:v>
                </c:pt>
                <c:pt idx="9">
                  <c:v>14827.824244782791</c:v>
                </c:pt>
                <c:pt idx="10">
                  <c:v>19151.880351848347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3C8-4243-BF5B-200471A2688F}"/>
            </c:ext>
          </c:extLst>
        </c:ser>
        <c:ser>
          <c:idx val="21"/>
          <c:order val="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RESULTS'!$B$24:$L$24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3086.1447311019847</c:v>
                </c:pt>
                <c:pt idx="2">
                  <c:v>3174.7830208775767</c:v>
                </c:pt>
                <c:pt idx="3">
                  <c:v>6416.5534384416715</c:v>
                </c:pt>
                <c:pt idx="4">
                  <c:v>7810.1421520238218</c:v>
                </c:pt>
                <c:pt idx="5">
                  <c:v>6060.4811941184307</c:v>
                </c:pt>
                <c:pt idx="6">
                  <c:v>10751.114858203444</c:v>
                </c:pt>
                <c:pt idx="7">
                  <c:v>15519.329848387271</c:v>
                </c:pt>
                <c:pt idx="8">
                  <c:v>17639.066897371187</c:v>
                </c:pt>
                <c:pt idx="9">
                  <c:v>21021.710510798668</c:v>
                </c:pt>
                <c:pt idx="10">
                  <c:v>22454.296871217375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3C8-4243-BF5B-200471A2688F}"/>
            </c:ext>
          </c:extLst>
        </c:ser>
        <c:ser>
          <c:idx val="22"/>
          <c:order val="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RESULTS'!$B$25:$L$25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6751.8477887652825</c:v>
                </c:pt>
                <c:pt idx="2">
                  <c:v>12840.588134745274</c:v>
                </c:pt>
                <c:pt idx="3">
                  <c:v>18228.137890586084</c:v>
                </c:pt>
                <c:pt idx="4">
                  <c:v>14008.061256018103</c:v>
                </c:pt>
                <c:pt idx="5">
                  <c:v>21197.671965348531</c:v>
                </c:pt>
                <c:pt idx="6">
                  <c:v>21960.107636765948</c:v>
                </c:pt>
                <c:pt idx="7">
                  <c:v>23611.258230135441</c:v>
                </c:pt>
                <c:pt idx="8">
                  <c:v>37396.631160483761</c:v>
                </c:pt>
                <c:pt idx="9">
                  <c:v>21284.137988363716</c:v>
                </c:pt>
                <c:pt idx="10">
                  <c:v>25275.007160199573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3C8-4243-BF5B-200471A2688F}"/>
            </c:ext>
          </c:extLst>
        </c:ser>
        <c:ser>
          <c:idx val="23"/>
          <c:order val="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RESULTS'!$B$26:$L$26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10000.373515767091</c:v>
                </c:pt>
                <c:pt idx="2">
                  <c:v>4959.4773582972557</c:v>
                </c:pt>
                <c:pt idx="3">
                  <c:v>3647.4494680229891</c:v>
                </c:pt>
                <c:pt idx="4">
                  <c:v>4102.3171339439377</c:v>
                </c:pt>
                <c:pt idx="5">
                  <c:v>6260.90144370083</c:v>
                </c:pt>
                <c:pt idx="6">
                  <c:v>9883.9399314409729</c:v>
                </c:pt>
                <c:pt idx="7">
                  <c:v>17291.832077564901</c:v>
                </c:pt>
                <c:pt idx="8">
                  <c:v>16739.008272697134</c:v>
                </c:pt>
                <c:pt idx="9">
                  <c:v>20996.264643085855</c:v>
                </c:pt>
                <c:pt idx="10">
                  <c:v>26000.334115642701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3C8-4243-BF5B-200471A2688F}"/>
            </c:ext>
          </c:extLst>
        </c:ser>
        <c:ser>
          <c:idx val="24"/>
          <c:order val="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RESULTS'!$B$27:$L$27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3792.9254917734233</c:v>
                </c:pt>
                <c:pt idx="2">
                  <c:v>2785.3590771397148</c:v>
                </c:pt>
                <c:pt idx="3">
                  <c:v>6424.5574883687041</c:v>
                </c:pt>
                <c:pt idx="4">
                  <c:v>8453.7305264774641</c:v>
                </c:pt>
                <c:pt idx="5">
                  <c:v>6958.4192628041328</c:v>
                </c:pt>
                <c:pt idx="6">
                  <c:v>311.53830084130914</c:v>
                </c:pt>
                <c:pt idx="7">
                  <c:v>405.59713695751998</c:v>
                </c:pt>
                <c:pt idx="8">
                  <c:v>3477.6950005051403</c:v>
                </c:pt>
                <c:pt idx="9">
                  <c:v>5158.0429340601786</c:v>
                </c:pt>
                <c:pt idx="10">
                  <c:v>2812.8332192434582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3C8-4243-BF5B-200471A2688F}"/>
            </c:ext>
          </c:extLst>
        </c:ser>
        <c:ser>
          <c:idx val="25"/>
          <c:order val="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RESULTS'!$B$28:$L$28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2845.7322542362854</c:v>
                </c:pt>
                <c:pt idx="2">
                  <c:v>3599.0818171380979</c:v>
                </c:pt>
                <c:pt idx="3">
                  <c:v>8567.4694715190853</c:v>
                </c:pt>
                <c:pt idx="4">
                  <c:v>11365.536822792572</c:v>
                </c:pt>
                <c:pt idx="5">
                  <c:v>22463.193331829672</c:v>
                </c:pt>
                <c:pt idx="6">
                  <c:v>27741.365114094977</c:v>
                </c:pt>
                <c:pt idx="7">
                  <c:v>42800.220819840302</c:v>
                </c:pt>
                <c:pt idx="8">
                  <c:v>42118.307236199253</c:v>
                </c:pt>
                <c:pt idx="9">
                  <c:v>35681.929115979714</c:v>
                </c:pt>
                <c:pt idx="10">
                  <c:v>40110.332463410959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3C8-4243-BF5B-200471A2688F}"/>
            </c:ext>
          </c:extLst>
        </c:ser>
        <c:ser>
          <c:idx val="26"/>
          <c:order val="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RESULTS'!$B$29:$L$29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2923.6143613168297</c:v>
                </c:pt>
                <c:pt idx="2">
                  <c:v>1977.3921624492514</c:v>
                </c:pt>
                <c:pt idx="3">
                  <c:v>425.3114702913399</c:v>
                </c:pt>
                <c:pt idx="4">
                  <c:v>159.97161529586992</c:v>
                </c:pt>
                <c:pt idx="5">
                  <c:v>147.75483819497458</c:v>
                </c:pt>
                <c:pt idx="6">
                  <c:v>4064.5538618145565</c:v>
                </c:pt>
                <c:pt idx="7">
                  <c:v>5215.8200970306771</c:v>
                </c:pt>
                <c:pt idx="8">
                  <c:v>7221.3884084794954</c:v>
                </c:pt>
                <c:pt idx="9">
                  <c:v>6920.4726237658779</c:v>
                </c:pt>
                <c:pt idx="10">
                  <c:v>10609.732002132951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3C8-4243-BF5B-200471A2688F}"/>
            </c:ext>
          </c:extLst>
        </c:ser>
        <c:ser>
          <c:idx val="27"/>
          <c:order val="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RESULTS'!$B$30:$L$30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6789.7281159934373</c:v>
                </c:pt>
                <c:pt idx="2">
                  <c:v>9451.5012700469943</c:v>
                </c:pt>
                <c:pt idx="3">
                  <c:v>5785.8337744445926</c:v>
                </c:pt>
                <c:pt idx="4">
                  <c:v>6537.6337429885534</c:v>
                </c:pt>
                <c:pt idx="5">
                  <c:v>5003.9137570548392</c:v>
                </c:pt>
                <c:pt idx="6">
                  <c:v>6022.5975940146327</c:v>
                </c:pt>
                <c:pt idx="7">
                  <c:v>2008.3744251340622</c:v>
                </c:pt>
                <c:pt idx="8">
                  <c:v>874.11002974238727</c:v>
                </c:pt>
                <c:pt idx="9">
                  <c:v>772.8326736753279</c:v>
                </c:pt>
                <c:pt idx="10">
                  <c:v>-989.10819969213298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3C8-4243-BF5B-200471A2688F}"/>
            </c:ext>
          </c:extLst>
        </c:ser>
        <c:ser>
          <c:idx val="28"/>
          <c:order val="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RESULTS'!$B$31:$L$31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4706.4276904846101</c:v>
                </c:pt>
                <c:pt idx="2">
                  <c:v>7112.257983981317</c:v>
                </c:pt>
                <c:pt idx="3">
                  <c:v>4578.6661991051715</c:v>
                </c:pt>
                <c:pt idx="4">
                  <c:v>2917.7110972577848</c:v>
                </c:pt>
                <c:pt idx="5">
                  <c:v>7256.3192636602289</c:v>
                </c:pt>
                <c:pt idx="6">
                  <c:v>4933.8660628667058</c:v>
                </c:pt>
                <c:pt idx="7">
                  <c:v>8264.8640576474463</c:v>
                </c:pt>
                <c:pt idx="8">
                  <c:v>9266.088054523545</c:v>
                </c:pt>
                <c:pt idx="9">
                  <c:v>8724.9082862496452</c:v>
                </c:pt>
                <c:pt idx="10">
                  <c:v>14201.4863167695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3C8-4243-BF5B-200471A2688F}"/>
            </c:ext>
          </c:extLst>
        </c:ser>
        <c:ser>
          <c:idx val="29"/>
          <c:order val="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RESULTS'!$B$32:$L$32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1710.5780515606584</c:v>
                </c:pt>
                <c:pt idx="2">
                  <c:v>4985.1444831964636</c:v>
                </c:pt>
                <c:pt idx="3">
                  <c:v>1319.668879383702</c:v>
                </c:pt>
                <c:pt idx="4">
                  <c:v>2705.086068618557</c:v>
                </c:pt>
                <c:pt idx="5">
                  <c:v>6098.9197265012481</c:v>
                </c:pt>
                <c:pt idx="6">
                  <c:v>7962.2468110451991</c:v>
                </c:pt>
                <c:pt idx="7">
                  <c:v>11061.504834852369</c:v>
                </c:pt>
                <c:pt idx="8">
                  <c:v>15208.705444940424</c:v>
                </c:pt>
                <c:pt idx="9">
                  <c:v>20415.706480281533</c:v>
                </c:pt>
                <c:pt idx="10">
                  <c:v>20557.846623393754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3C8-4243-BF5B-200471A2688F}"/>
            </c:ext>
          </c:extLst>
        </c:ser>
        <c:ser>
          <c:idx val="30"/>
          <c:order val="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RESULTS'!$B$33:$L$33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3554.0191020393086</c:v>
                </c:pt>
                <c:pt idx="2">
                  <c:v>7492.9972645300986</c:v>
                </c:pt>
                <c:pt idx="3">
                  <c:v>4498.212538591355</c:v>
                </c:pt>
                <c:pt idx="4">
                  <c:v>7342.3257895280367</c:v>
                </c:pt>
                <c:pt idx="5">
                  <c:v>10191.448289718777</c:v>
                </c:pt>
                <c:pt idx="6">
                  <c:v>9956.4451301851113</c:v>
                </c:pt>
                <c:pt idx="7">
                  <c:v>13273.348215604783</c:v>
                </c:pt>
                <c:pt idx="8">
                  <c:v>23881.390142710155</c:v>
                </c:pt>
                <c:pt idx="9">
                  <c:v>19008.23216667063</c:v>
                </c:pt>
                <c:pt idx="10">
                  <c:v>26701.713859997853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3C8-4243-BF5B-200471A2688F}"/>
            </c:ext>
          </c:extLst>
        </c:ser>
        <c:ser>
          <c:idx val="31"/>
          <c:order val="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RESULTS'!$B$34:$L$34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8655.5256128403489</c:v>
                </c:pt>
                <c:pt idx="2">
                  <c:v>11838.913859386956</c:v>
                </c:pt>
                <c:pt idx="3">
                  <c:v>13277.604100593326</c:v>
                </c:pt>
                <c:pt idx="4">
                  <c:v>16416.89871509542</c:v>
                </c:pt>
                <c:pt idx="5">
                  <c:v>18930.327775036185</c:v>
                </c:pt>
                <c:pt idx="6">
                  <c:v>30251.225493468177</c:v>
                </c:pt>
                <c:pt idx="7">
                  <c:v>45676.091544607392</c:v>
                </c:pt>
                <c:pt idx="8">
                  <c:v>54227.295819124818</c:v>
                </c:pt>
                <c:pt idx="9">
                  <c:v>60888.339994303227</c:v>
                </c:pt>
                <c:pt idx="10">
                  <c:v>59684.242067802901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3C8-4243-BF5B-200471A2688F}"/>
            </c:ext>
          </c:extLst>
        </c:ser>
        <c:ser>
          <c:idx val="32"/>
          <c:order val="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RESULTS'!$B$35:$L$35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7582.6988741398163</c:v>
                </c:pt>
                <c:pt idx="2">
                  <c:v>12846.471530876428</c:v>
                </c:pt>
                <c:pt idx="3">
                  <c:v>14560.133442851464</c:v>
                </c:pt>
                <c:pt idx="4">
                  <c:v>28042.751249124649</c:v>
                </c:pt>
                <c:pt idx="5">
                  <c:v>37944.339907720307</c:v>
                </c:pt>
                <c:pt idx="6">
                  <c:v>67326.587456596171</c:v>
                </c:pt>
                <c:pt idx="7">
                  <c:v>32184.137830645494</c:v>
                </c:pt>
                <c:pt idx="8">
                  <c:v>37017.166948397491</c:v>
                </c:pt>
                <c:pt idx="9">
                  <c:v>22390.614902310768</c:v>
                </c:pt>
                <c:pt idx="10">
                  <c:v>19507.57355172094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3C8-4243-BF5B-200471A2688F}"/>
            </c:ext>
          </c:extLst>
        </c:ser>
        <c:ser>
          <c:idx val="33"/>
          <c:order val="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RESULTS'!$B$36:$L$36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4423.617988751208</c:v>
                </c:pt>
                <c:pt idx="2">
                  <c:v>1925.878066330898</c:v>
                </c:pt>
                <c:pt idx="3">
                  <c:v>3178.3472108928363</c:v>
                </c:pt>
                <c:pt idx="4">
                  <c:v>2515.4690329015712</c:v>
                </c:pt>
                <c:pt idx="5">
                  <c:v>2968.9093255089238</c:v>
                </c:pt>
                <c:pt idx="6">
                  <c:v>3448.826798812901</c:v>
                </c:pt>
                <c:pt idx="7">
                  <c:v>-737.68965247800088</c:v>
                </c:pt>
                <c:pt idx="8">
                  <c:v>-368.14571751679614</c:v>
                </c:pt>
                <c:pt idx="9">
                  <c:v>-1707.2065595495014</c:v>
                </c:pt>
                <c:pt idx="10">
                  <c:v>-2185.3678802580262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3C8-4243-BF5B-200471A2688F}"/>
            </c:ext>
          </c:extLst>
        </c:ser>
        <c:ser>
          <c:idx val="34"/>
          <c:order val="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RESULTS'!$B$37:$L$37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768.43407532294805</c:v>
                </c:pt>
                <c:pt idx="2">
                  <c:v>812.86804343818494</c:v>
                </c:pt>
                <c:pt idx="3">
                  <c:v>-828.33060193076062</c:v>
                </c:pt>
                <c:pt idx="4">
                  <c:v>-1388.6197846564942</c:v>
                </c:pt>
                <c:pt idx="5">
                  <c:v>-1217.0885587403477</c:v>
                </c:pt>
                <c:pt idx="6">
                  <c:v>-1998.8448489805478</c:v>
                </c:pt>
                <c:pt idx="7">
                  <c:v>-1386.8116619670886</c:v>
                </c:pt>
                <c:pt idx="8">
                  <c:v>-1871.289372151783</c:v>
                </c:pt>
                <c:pt idx="9">
                  <c:v>-2648.7779501489022</c:v>
                </c:pt>
                <c:pt idx="10">
                  <c:v>-2860.9299616091589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3C8-4243-BF5B-200471A2688F}"/>
            </c:ext>
          </c:extLst>
        </c:ser>
        <c:ser>
          <c:idx val="35"/>
          <c:order val="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RESULTS'!$B$38:$L$38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4156.8616283122119</c:v>
                </c:pt>
                <c:pt idx="2">
                  <c:v>7701.2114493967365</c:v>
                </c:pt>
                <c:pt idx="3">
                  <c:v>7053.4043709476337</c:v>
                </c:pt>
                <c:pt idx="4">
                  <c:v>4901.6967720768735</c:v>
                </c:pt>
                <c:pt idx="5">
                  <c:v>8527.1143851169309</c:v>
                </c:pt>
                <c:pt idx="6">
                  <c:v>11569.287339637156</c:v>
                </c:pt>
                <c:pt idx="7">
                  <c:v>7097.4977230735385</c:v>
                </c:pt>
                <c:pt idx="8">
                  <c:v>14809.01117699562</c:v>
                </c:pt>
                <c:pt idx="9">
                  <c:v>17908.193098296662</c:v>
                </c:pt>
                <c:pt idx="10">
                  <c:v>33522.48589851951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3C8-4243-BF5B-200471A2688F}"/>
            </c:ext>
          </c:extLst>
        </c:ser>
        <c:ser>
          <c:idx val="36"/>
          <c:order val="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RESULTS'!$B$39:$L$39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4850.9121391065783</c:v>
                </c:pt>
                <c:pt idx="2">
                  <c:v>9404.3284844660266</c:v>
                </c:pt>
                <c:pt idx="3">
                  <c:v>19398.653220260818</c:v>
                </c:pt>
                <c:pt idx="4">
                  <c:v>20476.985081184248</c:v>
                </c:pt>
                <c:pt idx="5">
                  <c:v>27447.784443927372</c:v>
                </c:pt>
                <c:pt idx="6">
                  <c:v>36105.335007455629</c:v>
                </c:pt>
                <c:pt idx="7">
                  <c:v>36010.751626491037</c:v>
                </c:pt>
                <c:pt idx="8">
                  <c:v>18683.25881497658</c:v>
                </c:pt>
                <c:pt idx="9">
                  <c:v>19873.892323300352</c:v>
                </c:pt>
                <c:pt idx="10">
                  <c:v>24198.400697854384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3C8-4243-BF5B-200471A2688F}"/>
            </c:ext>
          </c:extLst>
        </c:ser>
        <c:ser>
          <c:idx val="37"/>
          <c:order val="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RESULTS'!$B$40:$L$40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5995.4379035133243</c:v>
                </c:pt>
                <c:pt idx="2">
                  <c:v>3543.3873076482314</c:v>
                </c:pt>
                <c:pt idx="3">
                  <c:v>3861.1911088024644</c:v>
                </c:pt>
                <c:pt idx="4">
                  <c:v>3968.9390338175854</c:v>
                </c:pt>
                <c:pt idx="5">
                  <c:v>2861.3009812668224</c:v>
                </c:pt>
                <c:pt idx="6">
                  <c:v>6362.5866369902178</c:v>
                </c:pt>
                <c:pt idx="7">
                  <c:v>12108.459857665901</c:v>
                </c:pt>
                <c:pt idx="8">
                  <c:v>16744.860908517054</c:v>
                </c:pt>
                <c:pt idx="9">
                  <c:v>22250.986185862304</c:v>
                </c:pt>
                <c:pt idx="10">
                  <c:v>25085.894044966946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3C8-4243-BF5B-200471A2688F}"/>
            </c:ext>
          </c:extLst>
        </c:ser>
        <c:ser>
          <c:idx val="38"/>
          <c:order val="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RESULTS'!$B$41:$L$41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4690.2105633198116</c:v>
                </c:pt>
                <c:pt idx="2">
                  <c:v>4327.2608461599775</c:v>
                </c:pt>
                <c:pt idx="3">
                  <c:v>5520.6725149288613</c:v>
                </c:pt>
                <c:pt idx="4">
                  <c:v>9871.2040737553834</c:v>
                </c:pt>
                <c:pt idx="5">
                  <c:v>14218.598411562136</c:v>
                </c:pt>
                <c:pt idx="6">
                  <c:v>18965.935042032146</c:v>
                </c:pt>
                <c:pt idx="7">
                  <c:v>36928.147084640041</c:v>
                </c:pt>
                <c:pt idx="8">
                  <c:v>44817.084380925349</c:v>
                </c:pt>
                <c:pt idx="9">
                  <c:v>49864.049877302474</c:v>
                </c:pt>
                <c:pt idx="10">
                  <c:v>74595.478056464737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3C8-4243-BF5B-200471A2688F}"/>
            </c:ext>
          </c:extLst>
        </c:ser>
        <c:ser>
          <c:idx val="39"/>
          <c:order val="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RESULTS'!$B$42:$L$42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7298.6727331536822</c:v>
                </c:pt>
                <c:pt idx="2">
                  <c:v>4578.0750838004315</c:v>
                </c:pt>
                <c:pt idx="3">
                  <c:v>8428.9445084708914</c:v>
                </c:pt>
                <c:pt idx="4">
                  <c:v>13236.716961001432</c:v>
                </c:pt>
                <c:pt idx="5">
                  <c:v>17833.014817269432</c:v>
                </c:pt>
                <c:pt idx="6">
                  <c:v>20078.477076874809</c:v>
                </c:pt>
                <c:pt idx="7">
                  <c:v>27207.869587363235</c:v>
                </c:pt>
                <c:pt idx="8">
                  <c:v>38319.594028246043</c:v>
                </c:pt>
                <c:pt idx="9">
                  <c:v>66495.011093862136</c:v>
                </c:pt>
                <c:pt idx="10">
                  <c:v>105506.14506047788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3C8-4243-BF5B-200471A2688F}"/>
            </c:ext>
          </c:extLst>
        </c:ser>
        <c:ser>
          <c:idx val="40"/>
          <c:order val="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RESULTS'!$B$43:$L$43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5924.7076400239093</c:v>
                </c:pt>
                <c:pt idx="2">
                  <c:v>10954.475295231339</c:v>
                </c:pt>
                <c:pt idx="3">
                  <c:v>8746.2124521151545</c:v>
                </c:pt>
                <c:pt idx="4">
                  <c:v>18190.640155502642</c:v>
                </c:pt>
                <c:pt idx="5">
                  <c:v>11092.876647595695</c:v>
                </c:pt>
                <c:pt idx="6">
                  <c:v>15317.591376291941</c:v>
                </c:pt>
                <c:pt idx="7">
                  <c:v>25790.22985395843</c:v>
                </c:pt>
                <c:pt idx="8">
                  <c:v>24585.588895111065</c:v>
                </c:pt>
                <c:pt idx="9">
                  <c:v>21926.059498847335</c:v>
                </c:pt>
                <c:pt idx="10">
                  <c:v>15635.172871185419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3C8-4243-BF5B-200471A2688F}"/>
            </c:ext>
          </c:extLst>
        </c:ser>
        <c:ser>
          <c:idx val="41"/>
          <c:order val="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RESULTS'!$B$44:$L$44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3123.0290566177391</c:v>
                </c:pt>
                <c:pt idx="2">
                  <c:v>-838.98956925120729</c:v>
                </c:pt>
                <c:pt idx="3">
                  <c:v>-1482.3788990771709</c:v>
                </c:pt>
                <c:pt idx="4">
                  <c:v>-1213.7672096278898</c:v>
                </c:pt>
                <c:pt idx="5">
                  <c:v>-1674.4902531188241</c:v>
                </c:pt>
                <c:pt idx="6">
                  <c:v>-959.52693331701357</c:v>
                </c:pt>
                <c:pt idx="7">
                  <c:v>-528.52601476099062</c:v>
                </c:pt>
                <c:pt idx="8">
                  <c:v>-1723.8665385584022</c:v>
                </c:pt>
                <c:pt idx="9">
                  <c:v>-999.24245984941263</c:v>
                </c:pt>
                <c:pt idx="10">
                  <c:v>-1511.3528593379933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3C8-4243-BF5B-200471A2688F}"/>
            </c:ext>
          </c:extLst>
        </c:ser>
        <c:ser>
          <c:idx val="42"/>
          <c:order val="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RESULTS'!$B$45:$L$45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2701.1421703086799</c:v>
                </c:pt>
                <c:pt idx="2">
                  <c:v>2536.0946699434489</c:v>
                </c:pt>
                <c:pt idx="3">
                  <c:v>-759.35728727611877</c:v>
                </c:pt>
                <c:pt idx="4">
                  <c:v>1190.3596576964637</c:v>
                </c:pt>
                <c:pt idx="5">
                  <c:v>1956.8983314564639</c:v>
                </c:pt>
                <c:pt idx="6">
                  <c:v>143.19612788675659</c:v>
                </c:pt>
                <c:pt idx="7">
                  <c:v>-1753.844939461565</c:v>
                </c:pt>
                <c:pt idx="8">
                  <c:v>-2661.3515888954507</c:v>
                </c:pt>
                <c:pt idx="9">
                  <c:v>-2248.606519360012</c:v>
                </c:pt>
                <c:pt idx="10">
                  <c:v>-1564.8099435759323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3C8-4243-BF5B-200471A2688F}"/>
            </c:ext>
          </c:extLst>
        </c:ser>
        <c:ser>
          <c:idx val="43"/>
          <c:order val="4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RESULTS'!$B$46:$L$46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995.2436306054833</c:v>
                </c:pt>
                <c:pt idx="2">
                  <c:v>3148.2668690240907</c:v>
                </c:pt>
                <c:pt idx="3">
                  <c:v>1574.0185119681237</c:v>
                </c:pt>
                <c:pt idx="4">
                  <c:v>3586.905181550238</c:v>
                </c:pt>
                <c:pt idx="5">
                  <c:v>3063.6882932248336</c:v>
                </c:pt>
                <c:pt idx="6">
                  <c:v>376.13198929016653</c:v>
                </c:pt>
                <c:pt idx="7">
                  <c:v>2547.9006566373355</c:v>
                </c:pt>
                <c:pt idx="8">
                  <c:v>2625.6451616071599</c:v>
                </c:pt>
                <c:pt idx="9">
                  <c:v>5221.2581544141576</c:v>
                </c:pt>
                <c:pt idx="10">
                  <c:v>4436.4494854341174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3C8-4243-BF5B-200471A2688F}"/>
            </c:ext>
          </c:extLst>
        </c:ser>
        <c:ser>
          <c:idx val="44"/>
          <c:order val="4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RESULTS'!$B$47:$L$47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5537.7441243454286</c:v>
                </c:pt>
                <c:pt idx="2">
                  <c:v>6197.1753632705695</c:v>
                </c:pt>
                <c:pt idx="3">
                  <c:v>7002.4452354464502</c:v>
                </c:pt>
                <c:pt idx="4">
                  <c:v>9097.7890131324293</c:v>
                </c:pt>
                <c:pt idx="5">
                  <c:v>12563.190854661942</c:v>
                </c:pt>
                <c:pt idx="6">
                  <c:v>13172.365124570475</c:v>
                </c:pt>
                <c:pt idx="7">
                  <c:v>21055.68675381098</c:v>
                </c:pt>
                <c:pt idx="8">
                  <c:v>20017.79617489806</c:v>
                </c:pt>
                <c:pt idx="9">
                  <c:v>42035.679900027506</c:v>
                </c:pt>
                <c:pt idx="10">
                  <c:v>36228.826408003122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3C8-4243-BF5B-200471A2688F}"/>
            </c:ext>
          </c:extLst>
        </c:ser>
        <c:ser>
          <c:idx val="45"/>
          <c:order val="4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RESULTS'!$B$48:$L$48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4696.5008976132722</c:v>
                </c:pt>
                <c:pt idx="2">
                  <c:v>9339.8887336740117</c:v>
                </c:pt>
                <c:pt idx="3">
                  <c:v>11139.54165495638</c:v>
                </c:pt>
                <c:pt idx="4">
                  <c:v>11253.939936439845</c:v>
                </c:pt>
                <c:pt idx="5">
                  <c:v>9701.7563137442066</c:v>
                </c:pt>
                <c:pt idx="6">
                  <c:v>18586.369156792822</c:v>
                </c:pt>
                <c:pt idx="7">
                  <c:v>22524.708597757523</c:v>
                </c:pt>
                <c:pt idx="8">
                  <c:v>24009.972119699447</c:v>
                </c:pt>
                <c:pt idx="9">
                  <c:v>40098.730023376047</c:v>
                </c:pt>
                <c:pt idx="10">
                  <c:v>27358.308062918422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3C8-4243-BF5B-200471A2688F}"/>
            </c:ext>
          </c:extLst>
        </c:ser>
        <c:ser>
          <c:idx val="46"/>
          <c:order val="4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RESULTS'!$B$49:$L$49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5034.827945848514</c:v>
                </c:pt>
                <c:pt idx="2">
                  <c:v>6934.5627074954555</c:v>
                </c:pt>
                <c:pt idx="3">
                  <c:v>8818.1357115451046</c:v>
                </c:pt>
                <c:pt idx="4">
                  <c:v>3966.9656191071153</c:v>
                </c:pt>
                <c:pt idx="5">
                  <c:v>5430.0311275473196</c:v>
                </c:pt>
                <c:pt idx="6">
                  <c:v>9388.3054919362603</c:v>
                </c:pt>
                <c:pt idx="7">
                  <c:v>16993.169561788909</c:v>
                </c:pt>
                <c:pt idx="8">
                  <c:v>19768.192576125166</c:v>
                </c:pt>
                <c:pt idx="9">
                  <c:v>24183.006314765964</c:v>
                </c:pt>
                <c:pt idx="10">
                  <c:v>47012.616567789009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3C8-4243-BF5B-200471A2688F}"/>
            </c:ext>
          </c:extLst>
        </c:ser>
        <c:ser>
          <c:idx val="47"/>
          <c:order val="4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RESULTS'!$B$50:$L$50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6001.553460259589</c:v>
                </c:pt>
                <c:pt idx="2">
                  <c:v>1625.1391217964947</c:v>
                </c:pt>
                <c:pt idx="3">
                  <c:v>3860.2135091451655</c:v>
                </c:pt>
                <c:pt idx="4">
                  <c:v>4397.5865599382305</c:v>
                </c:pt>
                <c:pt idx="5">
                  <c:v>6706.5457769238783</c:v>
                </c:pt>
                <c:pt idx="6">
                  <c:v>5714.605082108872</c:v>
                </c:pt>
                <c:pt idx="7">
                  <c:v>4912.601315539252</c:v>
                </c:pt>
                <c:pt idx="8">
                  <c:v>5175.6480463084372</c:v>
                </c:pt>
                <c:pt idx="9">
                  <c:v>7576.5760059987297</c:v>
                </c:pt>
                <c:pt idx="10">
                  <c:v>7423.3532525687297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3C8-4243-BF5B-200471A2688F}"/>
            </c:ext>
          </c:extLst>
        </c:ser>
        <c:ser>
          <c:idx val="48"/>
          <c:order val="4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RESULTS'!$B$51:$L$51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4862.7123003731995</c:v>
                </c:pt>
                <c:pt idx="2">
                  <c:v>5831.0742711120529</c:v>
                </c:pt>
                <c:pt idx="3">
                  <c:v>7620.2881465838054</c:v>
                </c:pt>
                <c:pt idx="4">
                  <c:v>9948.4965942949366</c:v>
                </c:pt>
                <c:pt idx="5">
                  <c:v>4136.9504682373408</c:v>
                </c:pt>
                <c:pt idx="6">
                  <c:v>5097.4490111844134</c:v>
                </c:pt>
                <c:pt idx="7">
                  <c:v>6843.0630009037031</c:v>
                </c:pt>
                <c:pt idx="8">
                  <c:v>11386.03807764566</c:v>
                </c:pt>
                <c:pt idx="9">
                  <c:v>16805.483552212125</c:v>
                </c:pt>
                <c:pt idx="10">
                  <c:v>15550.973595773903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3C8-4243-BF5B-200471A2688F}"/>
            </c:ext>
          </c:extLst>
        </c:ser>
        <c:ser>
          <c:idx val="49"/>
          <c:order val="4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RESULTS'!$B$52:$L$52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6585.4998630231712</c:v>
                </c:pt>
                <c:pt idx="2">
                  <c:v>11741.894133246326</c:v>
                </c:pt>
                <c:pt idx="3">
                  <c:v>7185.8128166363003</c:v>
                </c:pt>
                <c:pt idx="4">
                  <c:v>6273.2847417390803</c:v>
                </c:pt>
                <c:pt idx="5">
                  <c:v>4792.0037744614256</c:v>
                </c:pt>
                <c:pt idx="6">
                  <c:v>7358.2960806398423</c:v>
                </c:pt>
                <c:pt idx="7">
                  <c:v>10398.312557350997</c:v>
                </c:pt>
                <c:pt idx="8">
                  <c:v>7638.1202132288436</c:v>
                </c:pt>
                <c:pt idx="9">
                  <c:v>6452.1469429434492</c:v>
                </c:pt>
                <c:pt idx="10">
                  <c:v>11429.327837938386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3C8-4243-BF5B-200471A2688F}"/>
            </c:ext>
          </c:extLst>
        </c:ser>
        <c:ser>
          <c:idx val="50"/>
          <c:order val="5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RESULTS'!$B$53:$L$53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5107.3184243238538</c:v>
                </c:pt>
                <c:pt idx="2">
                  <c:v>6910.5139264732716</c:v>
                </c:pt>
                <c:pt idx="3">
                  <c:v>7101.0465490015795</c:v>
                </c:pt>
                <c:pt idx="4">
                  <c:v>5236.2224251135322</c:v>
                </c:pt>
                <c:pt idx="5">
                  <c:v>5490.6873615497043</c:v>
                </c:pt>
                <c:pt idx="6">
                  <c:v>5095.8899517093232</c:v>
                </c:pt>
                <c:pt idx="7">
                  <c:v>6836.7192351903268</c:v>
                </c:pt>
                <c:pt idx="8">
                  <c:v>12640.06187899808</c:v>
                </c:pt>
                <c:pt idx="9">
                  <c:v>8292.123246043011</c:v>
                </c:pt>
                <c:pt idx="10">
                  <c:v>9407.1505164218306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F3C8-4243-BF5B-200471A2688F}"/>
            </c:ext>
          </c:extLst>
        </c:ser>
        <c:ser>
          <c:idx val="51"/>
          <c:order val="5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RESULTS'!$B$54:$L$54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14890.284136275535</c:v>
                </c:pt>
                <c:pt idx="2">
                  <c:v>18586.204182561727</c:v>
                </c:pt>
                <c:pt idx="3">
                  <c:v>18107.134590725167</c:v>
                </c:pt>
                <c:pt idx="4">
                  <c:v>26806.388323801133</c:v>
                </c:pt>
                <c:pt idx="5">
                  <c:v>35459.28361903489</c:v>
                </c:pt>
                <c:pt idx="6">
                  <c:v>49764.997806779844</c:v>
                </c:pt>
                <c:pt idx="7">
                  <c:v>93641.322726239872</c:v>
                </c:pt>
                <c:pt idx="8">
                  <c:v>119334.73597428297</c:v>
                </c:pt>
                <c:pt idx="9">
                  <c:v>137644.11593301341</c:v>
                </c:pt>
                <c:pt idx="10">
                  <c:v>181915.64789085576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F3C8-4243-BF5B-200471A2688F}"/>
            </c:ext>
          </c:extLst>
        </c:ser>
        <c:ser>
          <c:idx val="52"/>
          <c:order val="5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RESULTS'!$B$55:$L$55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1283.160502425224</c:v>
                </c:pt>
                <c:pt idx="2">
                  <c:v>221.87819843827037</c:v>
                </c:pt>
                <c:pt idx="3">
                  <c:v>-1430.527665236169</c:v>
                </c:pt>
                <c:pt idx="4">
                  <c:v>-1267.4578131500143</c:v>
                </c:pt>
                <c:pt idx="5">
                  <c:v>-128.06585980523232</c:v>
                </c:pt>
                <c:pt idx="6">
                  <c:v>106.74253559284352</c:v>
                </c:pt>
                <c:pt idx="7">
                  <c:v>-510.96624789340922</c:v>
                </c:pt>
                <c:pt idx="8">
                  <c:v>-717.20292740316017</c:v>
                </c:pt>
                <c:pt idx="9">
                  <c:v>1707.3834323185847</c:v>
                </c:pt>
                <c:pt idx="10">
                  <c:v>-144.1428307619617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F3C8-4243-BF5B-200471A2688F}"/>
            </c:ext>
          </c:extLst>
        </c:ser>
        <c:ser>
          <c:idx val="53"/>
          <c:order val="5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RESULTS'!$B$56:$L$56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8450.8358638906629</c:v>
                </c:pt>
                <c:pt idx="2">
                  <c:v>12984.129226701149</c:v>
                </c:pt>
                <c:pt idx="3">
                  <c:v>15934.931119863169</c:v>
                </c:pt>
                <c:pt idx="4">
                  <c:v>16628.364226214719</c:v>
                </c:pt>
                <c:pt idx="5">
                  <c:v>12291.540346039263</c:v>
                </c:pt>
                <c:pt idx="6">
                  <c:v>7174.4532658088883</c:v>
                </c:pt>
                <c:pt idx="7">
                  <c:v>8929.5193226725314</c:v>
                </c:pt>
                <c:pt idx="8">
                  <c:v>11731.006931802147</c:v>
                </c:pt>
                <c:pt idx="9">
                  <c:v>16727.893695864957</c:v>
                </c:pt>
                <c:pt idx="10">
                  <c:v>22386.639795512288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F3C8-4243-BF5B-200471A2688F}"/>
            </c:ext>
          </c:extLst>
        </c:ser>
        <c:ser>
          <c:idx val="54"/>
          <c:order val="5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RESULTS'!$B$57:$L$57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8252.4765138461553</c:v>
                </c:pt>
                <c:pt idx="2">
                  <c:v>12507.135239656025</c:v>
                </c:pt>
                <c:pt idx="3">
                  <c:v>17654.855942214923</c:v>
                </c:pt>
                <c:pt idx="4">
                  <c:v>14287.762230348781</c:v>
                </c:pt>
                <c:pt idx="5">
                  <c:v>19655.656606402565</c:v>
                </c:pt>
                <c:pt idx="6">
                  <c:v>25136.699519579535</c:v>
                </c:pt>
                <c:pt idx="7">
                  <c:v>35240.956926647872</c:v>
                </c:pt>
                <c:pt idx="8">
                  <c:v>42144.11487218667</c:v>
                </c:pt>
                <c:pt idx="9">
                  <c:v>23682.471253655443</c:v>
                </c:pt>
                <c:pt idx="10">
                  <c:v>22103.289689741196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F3C8-4243-BF5B-200471A2688F}"/>
            </c:ext>
          </c:extLst>
        </c:ser>
        <c:ser>
          <c:idx val="55"/>
          <c:order val="5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RESULTS'!$B$58:$L$58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7593.4801876484307</c:v>
                </c:pt>
                <c:pt idx="2">
                  <c:v>10153.060988543833</c:v>
                </c:pt>
                <c:pt idx="3">
                  <c:v>17094.336842154145</c:v>
                </c:pt>
                <c:pt idx="4">
                  <c:v>27830.374405094688</c:v>
                </c:pt>
                <c:pt idx="5">
                  <c:v>30597.565468338718</c:v>
                </c:pt>
                <c:pt idx="6">
                  <c:v>41656.377669872854</c:v>
                </c:pt>
                <c:pt idx="7">
                  <c:v>46463.929465135123</c:v>
                </c:pt>
                <c:pt idx="8">
                  <c:v>46369.603507252876</c:v>
                </c:pt>
                <c:pt idx="9">
                  <c:v>47598.37089097243</c:v>
                </c:pt>
                <c:pt idx="10">
                  <c:v>90049.732632749103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F3C8-4243-BF5B-200471A2688F}"/>
            </c:ext>
          </c:extLst>
        </c:ser>
        <c:ser>
          <c:idx val="56"/>
          <c:order val="5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RESULTS'!$B$59:$L$59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2348.2416975090555</c:v>
                </c:pt>
                <c:pt idx="2">
                  <c:v>3980.335659954133</c:v>
                </c:pt>
                <c:pt idx="3">
                  <c:v>4174.4747278804352</c:v>
                </c:pt>
                <c:pt idx="4">
                  <c:v>12478.927180798837</c:v>
                </c:pt>
                <c:pt idx="5">
                  <c:v>13364.238978505164</c:v>
                </c:pt>
                <c:pt idx="6">
                  <c:v>24306.302561165387</c:v>
                </c:pt>
                <c:pt idx="7">
                  <c:v>20587.040045703954</c:v>
                </c:pt>
                <c:pt idx="8">
                  <c:v>24255.124321264335</c:v>
                </c:pt>
                <c:pt idx="9">
                  <c:v>32662.772421544425</c:v>
                </c:pt>
                <c:pt idx="10">
                  <c:v>30939.891700910543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F3C8-4243-BF5B-200471A2688F}"/>
            </c:ext>
          </c:extLst>
        </c:ser>
        <c:ser>
          <c:idx val="57"/>
          <c:order val="5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RESULTS'!$B$60:$L$60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4639.0798985121237</c:v>
                </c:pt>
                <c:pt idx="2">
                  <c:v>1422.307406653319</c:v>
                </c:pt>
                <c:pt idx="3">
                  <c:v>455.82644002062443</c:v>
                </c:pt>
                <c:pt idx="4">
                  <c:v>1247.8603806270066</c:v>
                </c:pt>
                <c:pt idx="5">
                  <c:v>-115.81860082348248</c:v>
                </c:pt>
                <c:pt idx="6">
                  <c:v>-798.35844531560406</c:v>
                </c:pt>
                <c:pt idx="7">
                  <c:v>-1920.3900129412532</c:v>
                </c:pt>
                <c:pt idx="8">
                  <c:v>-562.81800801149984</c:v>
                </c:pt>
                <c:pt idx="9">
                  <c:v>-43.407049350554189</c:v>
                </c:pt>
                <c:pt idx="10">
                  <c:v>4041.0734773761069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F3C8-4243-BF5B-200471A2688F}"/>
            </c:ext>
          </c:extLst>
        </c:ser>
        <c:ser>
          <c:idx val="58"/>
          <c:order val="5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RESULTS'!$B$61:$L$61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2998.4661650129883</c:v>
                </c:pt>
                <c:pt idx="2">
                  <c:v>1086.9743287262891</c:v>
                </c:pt>
                <c:pt idx="3">
                  <c:v>404.08587830062697</c:v>
                </c:pt>
                <c:pt idx="4">
                  <c:v>2651.4840790754643</c:v>
                </c:pt>
                <c:pt idx="5">
                  <c:v>6592.0885117840207</c:v>
                </c:pt>
                <c:pt idx="6">
                  <c:v>11736.878787218227</c:v>
                </c:pt>
                <c:pt idx="7">
                  <c:v>20730.332867924415</c:v>
                </c:pt>
                <c:pt idx="8">
                  <c:v>27194.083406894646</c:v>
                </c:pt>
                <c:pt idx="9">
                  <c:v>33641.686045893191</c:v>
                </c:pt>
                <c:pt idx="10">
                  <c:v>28596.601799577089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F3C8-4243-BF5B-200471A2688F}"/>
            </c:ext>
          </c:extLst>
        </c:ser>
        <c:ser>
          <c:idx val="59"/>
          <c:order val="5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RESULTS'!$B$62:$L$62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6254.6123826991934</c:v>
                </c:pt>
                <c:pt idx="2">
                  <c:v>15474.377948631758</c:v>
                </c:pt>
                <c:pt idx="3">
                  <c:v>7011.1753688455901</c:v>
                </c:pt>
                <c:pt idx="4">
                  <c:v>10028.009659434247</c:v>
                </c:pt>
                <c:pt idx="5">
                  <c:v>10174.621197973367</c:v>
                </c:pt>
                <c:pt idx="6">
                  <c:v>8389.2031492768256</c:v>
                </c:pt>
                <c:pt idx="7">
                  <c:v>4568.3358328990598</c:v>
                </c:pt>
                <c:pt idx="8">
                  <c:v>8087.7187247221609</c:v>
                </c:pt>
                <c:pt idx="9">
                  <c:v>7702.1996739392362</c:v>
                </c:pt>
                <c:pt idx="10">
                  <c:v>12280.825261268077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F3C8-4243-BF5B-200471A2688F}"/>
            </c:ext>
          </c:extLst>
        </c:ser>
        <c:ser>
          <c:idx val="60"/>
          <c:order val="6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RESULTS'!$B$63:$L$63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3021.0610588119262</c:v>
                </c:pt>
                <c:pt idx="2">
                  <c:v>7259.0043038544281</c:v>
                </c:pt>
                <c:pt idx="3">
                  <c:v>5283.8746158648282</c:v>
                </c:pt>
                <c:pt idx="4">
                  <c:v>6448.5724895288768</c:v>
                </c:pt>
                <c:pt idx="5">
                  <c:v>13786.157409124698</c:v>
                </c:pt>
                <c:pt idx="6">
                  <c:v>4863.1783801647634</c:v>
                </c:pt>
                <c:pt idx="7">
                  <c:v>8494.0769064798678</c:v>
                </c:pt>
                <c:pt idx="8">
                  <c:v>9467.6055489663631</c:v>
                </c:pt>
                <c:pt idx="9">
                  <c:v>13999.186195602368</c:v>
                </c:pt>
                <c:pt idx="10">
                  <c:v>22506.40118366111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F3C8-4243-BF5B-200471A2688F}"/>
            </c:ext>
          </c:extLst>
        </c:ser>
        <c:ser>
          <c:idx val="61"/>
          <c:order val="6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RESULTS'!$B$64:$L$64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6595.6186880933637</c:v>
                </c:pt>
                <c:pt idx="2">
                  <c:v>7655.2682958275436</c:v>
                </c:pt>
                <c:pt idx="3">
                  <c:v>9152.8736156511459</c:v>
                </c:pt>
                <c:pt idx="4">
                  <c:v>9358.1874278377618</c:v>
                </c:pt>
                <c:pt idx="5">
                  <c:v>8727.4920872801831</c:v>
                </c:pt>
                <c:pt idx="6">
                  <c:v>9967.871670045397</c:v>
                </c:pt>
                <c:pt idx="7">
                  <c:v>23346.72706311318</c:v>
                </c:pt>
                <c:pt idx="8">
                  <c:v>29647.488297445081</c:v>
                </c:pt>
                <c:pt idx="9">
                  <c:v>22692.851294233235</c:v>
                </c:pt>
                <c:pt idx="10">
                  <c:v>44631.996842011897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F3C8-4243-BF5B-200471A2688F}"/>
            </c:ext>
          </c:extLst>
        </c:ser>
        <c:ser>
          <c:idx val="62"/>
          <c:order val="6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RESULTS'!$B$65:$L$65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8730.9356235950399</c:v>
                </c:pt>
                <c:pt idx="2">
                  <c:v>8079.2710121227428</c:v>
                </c:pt>
                <c:pt idx="3">
                  <c:v>17552.640629491572</c:v>
                </c:pt>
                <c:pt idx="4">
                  <c:v>29032.701743181751</c:v>
                </c:pt>
                <c:pt idx="5">
                  <c:v>29677.343538609537</c:v>
                </c:pt>
                <c:pt idx="6">
                  <c:v>38386.724285186494</c:v>
                </c:pt>
                <c:pt idx="7">
                  <c:v>53555.434249112172</c:v>
                </c:pt>
                <c:pt idx="8">
                  <c:v>78137.029156430697</c:v>
                </c:pt>
                <c:pt idx="9">
                  <c:v>84408.366659780746</c:v>
                </c:pt>
                <c:pt idx="10">
                  <c:v>109547.92451908912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F3C8-4243-BF5B-200471A2688F}"/>
            </c:ext>
          </c:extLst>
        </c:ser>
        <c:ser>
          <c:idx val="63"/>
          <c:order val="6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RESULTS'!$B$66:$L$66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5831.4553892918375</c:v>
                </c:pt>
                <c:pt idx="2">
                  <c:v>10495.509598065239</c:v>
                </c:pt>
                <c:pt idx="3">
                  <c:v>13117.74805440638</c:v>
                </c:pt>
                <c:pt idx="4">
                  <c:v>14776.927980098382</c:v>
                </c:pt>
                <c:pt idx="5">
                  <c:v>10444.891115602379</c:v>
                </c:pt>
                <c:pt idx="6">
                  <c:v>15644.229982284578</c:v>
                </c:pt>
                <c:pt idx="7">
                  <c:v>19654.984345285426</c:v>
                </c:pt>
                <c:pt idx="8">
                  <c:v>25215.049052242979</c:v>
                </c:pt>
                <c:pt idx="9">
                  <c:v>30600.361337287817</c:v>
                </c:pt>
                <c:pt idx="10">
                  <c:v>24316.305340821509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F3C8-4243-BF5B-200471A2688F}"/>
            </c:ext>
          </c:extLst>
        </c:ser>
        <c:ser>
          <c:idx val="64"/>
          <c:order val="6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RESULTS'!$B$67:$L$67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5500.8253401674519</c:v>
                </c:pt>
                <c:pt idx="2">
                  <c:v>8477.0393861152079</c:v>
                </c:pt>
                <c:pt idx="3">
                  <c:v>9857.2394932577117</c:v>
                </c:pt>
                <c:pt idx="4">
                  <c:v>11530.259531407908</c:v>
                </c:pt>
                <c:pt idx="5">
                  <c:v>20290.667454367129</c:v>
                </c:pt>
                <c:pt idx="6">
                  <c:v>28971.823628695092</c:v>
                </c:pt>
                <c:pt idx="7">
                  <c:v>28698.187374787769</c:v>
                </c:pt>
                <c:pt idx="8">
                  <c:v>19021.200575968505</c:v>
                </c:pt>
                <c:pt idx="9">
                  <c:v>21969.192504187144</c:v>
                </c:pt>
                <c:pt idx="10">
                  <c:v>33836.187022187405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F3C8-4243-BF5B-200471A2688F}"/>
            </c:ext>
          </c:extLst>
        </c:ser>
        <c:ser>
          <c:idx val="65"/>
          <c:order val="6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RESULTS'!$B$68:$L$68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10803.983959271205</c:v>
                </c:pt>
                <c:pt idx="2">
                  <c:v>15974.845187200954</c:v>
                </c:pt>
                <c:pt idx="3">
                  <c:v>15443.806611840133</c:v>
                </c:pt>
                <c:pt idx="4">
                  <c:v>20205.619690163247</c:v>
                </c:pt>
                <c:pt idx="5">
                  <c:v>28919.688718143756</c:v>
                </c:pt>
                <c:pt idx="6">
                  <c:v>41447.535848313615</c:v>
                </c:pt>
                <c:pt idx="7">
                  <c:v>30383.984801662256</c:v>
                </c:pt>
                <c:pt idx="8">
                  <c:v>46427.767281882079</c:v>
                </c:pt>
                <c:pt idx="9">
                  <c:v>57713.588840325596</c:v>
                </c:pt>
                <c:pt idx="10">
                  <c:v>82664.488387167235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F3C8-4243-BF5B-200471A2688F}"/>
            </c:ext>
          </c:extLst>
        </c:ser>
        <c:ser>
          <c:idx val="66"/>
          <c:order val="6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RESULTS'!$B$69:$L$69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4104.4370309926016</c:v>
                </c:pt>
                <c:pt idx="2">
                  <c:v>9118.1634066443057</c:v>
                </c:pt>
                <c:pt idx="3">
                  <c:v>15884.650630858254</c:v>
                </c:pt>
                <c:pt idx="4">
                  <c:v>24031.436616245614</c:v>
                </c:pt>
                <c:pt idx="5">
                  <c:v>20032.391314288339</c:v>
                </c:pt>
                <c:pt idx="6">
                  <c:v>23146.245051142359</c:v>
                </c:pt>
                <c:pt idx="7">
                  <c:v>21708.093064204913</c:v>
                </c:pt>
                <c:pt idx="8">
                  <c:v>32249.21695841015</c:v>
                </c:pt>
                <c:pt idx="9">
                  <c:v>37835.674688490981</c:v>
                </c:pt>
                <c:pt idx="10">
                  <c:v>42629.881858575005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F3C8-4243-BF5B-200471A2688F}"/>
            </c:ext>
          </c:extLst>
        </c:ser>
        <c:ser>
          <c:idx val="67"/>
          <c:order val="6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RESULTS'!$B$70:$L$70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2621.0298914356954</c:v>
                </c:pt>
                <c:pt idx="2">
                  <c:v>4385.0887907752331</c:v>
                </c:pt>
                <c:pt idx="3">
                  <c:v>7187.8298119851188</c:v>
                </c:pt>
                <c:pt idx="4">
                  <c:v>10994.989940307814</c:v>
                </c:pt>
                <c:pt idx="5">
                  <c:v>11646.590479161699</c:v>
                </c:pt>
                <c:pt idx="6">
                  <c:v>12615.035354650223</c:v>
                </c:pt>
                <c:pt idx="7">
                  <c:v>14158.957444928819</c:v>
                </c:pt>
                <c:pt idx="8">
                  <c:v>24333.863106705525</c:v>
                </c:pt>
                <c:pt idx="9">
                  <c:v>23064.551665175</c:v>
                </c:pt>
                <c:pt idx="10">
                  <c:v>25422.425504702511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F3C8-4243-BF5B-200471A2688F}"/>
            </c:ext>
          </c:extLst>
        </c:ser>
        <c:ser>
          <c:idx val="68"/>
          <c:order val="6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RESULTS'!$B$71:$L$71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12861.214980667184</c:v>
                </c:pt>
                <c:pt idx="2">
                  <c:v>8300.5447583654623</c:v>
                </c:pt>
                <c:pt idx="3">
                  <c:v>10148.989001685462</c:v>
                </c:pt>
                <c:pt idx="4">
                  <c:v>12576.265808629512</c:v>
                </c:pt>
                <c:pt idx="5">
                  <c:v>11698.638444802556</c:v>
                </c:pt>
                <c:pt idx="6">
                  <c:v>14773.991254824581</c:v>
                </c:pt>
                <c:pt idx="7">
                  <c:v>25669.720547644545</c:v>
                </c:pt>
                <c:pt idx="8">
                  <c:v>50356.763989003259</c:v>
                </c:pt>
                <c:pt idx="9">
                  <c:v>82574.578919483552</c:v>
                </c:pt>
                <c:pt idx="10">
                  <c:v>105933.26803366574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F3C8-4243-BF5B-200471A2688F}"/>
            </c:ext>
          </c:extLst>
        </c:ser>
        <c:ser>
          <c:idx val="69"/>
          <c:order val="6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RESULTS'!$B$72:$L$72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11522.90346885828</c:v>
                </c:pt>
                <c:pt idx="2">
                  <c:v>12004.692777845019</c:v>
                </c:pt>
                <c:pt idx="3">
                  <c:v>4307.7683506721023</c:v>
                </c:pt>
                <c:pt idx="4">
                  <c:v>3430.7065784283795</c:v>
                </c:pt>
                <c:pt idx="5">
                  <c:v>5850.7853890571841</c:v>
                </c:pt>
                <c:pt idx="6">
                  <c:v>6584.1244546836588</c:v>
                </c:pt>
                <c:pt idx="7">
                  <c:v>3777.8220327946528</c:v>
                </c:pt>
                <c:pt idx="8">
                  <c:v>6005.6578811396012</c:v>
                </c:pt>
                <c:pt idx="9">
                  <c:v>12437.440580258593</c:v>
                </c:pt>
                <c:pt idx="10">
                  <c:v>17684.597453037848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F3C8-4243-BF5B-200471A2688F}"/>
            </c:ext>
          </c:extLst>
        </c:ser>
        <c:ser>
          <c:idx val="70"/>
          <c:order val="7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RESULTS'!$B$73:$L$73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3412.3025401301475</c:v>
                </c:pt>
                <c:pt idx="2">
                  <c:v>2394.6448579231146</c:v>
                </c:pt>
                <c:pt idx="3">
                  <c:v>6890.1903721221151</c:v>
                </c:pt>
                <c:pt idx="4">
                  <c:v>7306.4353576081048</c:v>
                </c:pt>
                <c:pt idx="5">
                  <c:v>6151.0961782688664</c:v>
                </c:pt>
                <c:pt idx="6">
                  <c:v>8305.7859493869091</c:v>
                </c:pt>
                <c:pt idx="7">
                  <c:v>9614.2347591346443</c:v>
                </c:pt>
                <c:pt idx="8">
                  <c:v>5050.1428730726111</c:v>
                </c:pt>
                <c:pt idx="9">
                  <c:v>9275.5249071569106</c:v>
                </c:pt>
                <c:pt idx="10">
                  <c:v>22029.949996175037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F3C8-4243-BF5B-200471A2688F}"/>
            </c:ext>
          </c:extLst>
        </c:ser>
        <c:ser>
          <c:idx val="71"/>
          <c:order val="7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RESULTS'!$B$74:$L$74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10385.982977840846</c:v>
                </c:pt>
                <c:pt idx="2">
                  <c:v>13717.226513517922</c:v>
                </c:pt>
                <c:pt idx="3">
                  <c:v>21488.13796301368</c:v>
                </c:pt>
                <c:pt idx="4">
                  <c:v>18322.020993313516</c:v>
                </c:pt>
                <c:pt idx="5">
                  <c:v>32736.464619230719</c:v>
                </c:pt>
                <c:pt idx="6">
                  <c:v>32194.444094869534</c:v>
                </c:pt>
                <c:pt idx="7">
                  <c:v>27202.945594162655</c:v>
                </c:pt>
                <c:pt idx="8">
                  <c:v>47232.730273264307</c:v>
                </c:pt>
                <c:pt idx="9">
                  <c:v>47790.760646231785</c:v>
                </c:pt>
                <c:pt idx="10">
                  <c:v>58847.692535072638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F3C8-4243-BF5B-200471A2688F}"/>
            </c:ext>
          </c:extLst>
        </c:ser>
        <c:ser>
          <c:idx val="72"/>
          <c:order val="7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RESULTS'!$B$75:$L$75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11511.362785137637</c:v>
                </c:pt>
                <c:pt idx="2">
                  <c:v>11385.761081389122</c:v>
                </c:pt>
                <c:pt idx="3">
                  <c:v>12908.026195324739</c:v>
                </c:pt>
                <c:pt idx="4">
                  <c:v>20611.485210199051</c:v>
                </c:pt>
                <c:pt idx="5">
                  <c:v>28653.806392120794</c:v>
                </c:pt>
                <c:pt idx="6">
                  <c:v>44122.044078535691</c:v>
                </c:pt>
                <c:pt idx="7">
                  <c:v>77464.774107361925</c:v>
                </c:pt>
                <c:pt idx="8">
                  <c:v>72334.241506522478</c:v>
                </c:pt>
                <c:pt idx="9">
                  <c:v>70120.604456607442</c:v>
                </c:pt>
                <c:pt idx="10">
                  <c:v>90664.847878247921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F3C8-4243-BF5B-200471A2688F}"/>
            </c:ext>
          </c:extLst>
        </c:ser>
        <c:ser>
          <c:idx val="73"/>
          <c:order val="7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RESULTS'!$B$76:$L$76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12587.01974870951</c:v>
                </c:pt>
                <c:pt idx="2">
                  <c:v>16430.875377438304</c:v>
                </c:pt>
                <c:pt idx="3">
                  <c:v>35313.315976914928</c:v>
                </c:pt>
                <c:pt idx="4">
                  <c:v>39440.442218273383</c:v>
                </c:pt>
                <c:pt idx="5">
                  <c:v>47816.222863624855</c:v>
                </c:pt>
                <c:pt idx="6">
                  <c:v>83953.033688519296</c:v>
                </c:pt>
                <c:pt idx="7">
                  <c:v>91513.863841503393</c:v>
                </c:pt>
                <c:pt idx="8">
                  <c:v>122018.98529125158</c:v>
                </c:pt>
                <c:pt idx="9">
                  <c:v>176978.63549553091</c:v>
                </c:pt>
                <c:pt idx="10">
                  <c:v>166443.19217688311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F3C8-4243-BF5B-200471A2688F}"/>
            </c:ext>
          </c:extLst>
        </c:ser>
        <c:ser>
          <c:idx val="74"/>
          <c:order val="7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RESULTS'!$B$77:$L$77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6725.730677360938</c:v>
                </c:pt>
                <c:pt idx="2">
                  <c:v>9303.3183843976785</c:v>
                </c:pt>
                <c:pt idx="3">
                  <c:v>11549.46223574049</c:v>
                </c:pt>
                <c:pt idx="4">
                  <c:v>15274.948565583742</c:v>
                </c:pt>
                <c:pt idx="5">
                  <c:v>14395.311945672878</c:v>
                </c:pt>
                <c:pt idx="6">
                  <c:v>12766.677445522102</c:v>
                </c:pt>
                <c:pt idx="7">
                  <c:v>6919.9773499502026</c:v>
                </c:pt>
                <c:pt idx="8">
                  <c:v>9440.4920595817839</c:v>
                </c:pt>
                <c:pt idx="9">
                  <c:v>9754.924331287204</c:v>
                </c:pt>
                <c:pt idx="10">
                  <c:v>16643.373171921405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F3C8-4243-BF5B-200471A2688F}"/>
            </c:ext>
          </c:extLst>
        </c:ser>
        <c:ser>
          <c:idx val="75"/>
          <c:order val="7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RESULTS'!$B$78:$L$78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7246.7472980431212</c:v>
                </c:pt>
                <c:pt idx="2">
                  <c:v>10834.965615955747</c:v>
                </c:pt>
                <c:pt idx="3">
                  <c:v>8185.5645089711124</c:v>
                </c:pt>
                <c:pt idx="4">
                  <c:v>6576.088090107638</c:v>
                </c:pt>
                <c:pt idx="5">
                  <c:v>8435.9702985115728</c:v>
                </c:pt>
                <c:pt idx="6">
                  <c:v>10445.421171597973</c:v>
                </c:pt>
                <c:pt idx="7">
                  <c:v>12119.518967082255</c:v>
                </c:pt>
                <c:pt idx="8">
                  <c:v>16422.832428919999</c:v>
                </c:pt>
                <c:pt idx="9">
                  <c:v>18003.438758046108</c:v>
                </c:pt>
                <c:pt idx="10">
                  <c:v>24188.504534718013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F3C8-4243-BF5B-200471A2688F}"/>
            </c:ext>
          </c:extLst>
        </c:ser>
        <c:ser>
          <c:idx val="76"/>
          <c:order val="7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RESULTS'!$B$79:$L$79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13829.819757373349</c:v>
                </c:pt>
                <c:pt idx="2">
                  <c:v>21125.867450384212</c:v>
                </c:pt>
                <c:pt idx="3">
                  <c:v>23416.689519659605</c:v>
                </c:pt>
                <c:pt idx="4">
                  <c:v>38560.342058750706</c:v>
                </c:pt>
                <c:pt idx="5">
                  <c:v>45755.490571387716</c:v>
                </c:pt>
                <c:pt idx="6">
                  <c:v>62473.197433347465</c:v>
                </c:pt>
                <c:pt idx="7">
                  <c:v>84362.649835741104</c:v>
                </c:pt>
                <c:pt idx="8">
                  <c:v>136132.29331191117</c:v>
                </c:pt>
                <c:pt idx="9">
                  <c:v>182199.54949995814</c:v>
                </c:pt>
                <c:pt idx="10">
                  <c:v>201040.00660043623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F3C8-4243-BF5B-200471A2688F}"/>
            </c:ext>
          </c:extLst>
        </c:ser>
        <c:ser>
          <c:idx val="77"/>
          <c:order val="7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RESULTS'!$B$80:$L$80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6271.3114246882051</c:v>
                </c:pt>
                <c:pt idx="2">
                  <c:v>2121.4028491765075</c:v>
                </c:pt>
                <c:pt idx="3">
                  <c:v>1166.1690430984963</c:v>
                </c:pt>
                <c:pt idx="4">
                  <c:v>1096.4894182799726</c:v>
                </c:pt>
                <c:pt idx="5">
                  <c:v>2005.7657817719692</c:v>
                </c:pt>
                <c:pt idx="6">
                  <c:v>-404.42859013401448</c:v>
                </c:pt>
                <c:pt idx="7">
                  <c:v>881.99048050082911</c:v>
                </c:pt>
                <c:pt idx="8">
                  <c:v>2477.7109791484572</c:v>
                </c:pt>
                <c:pt idx="9">
                  <c:v>5236.4207873732739</c:v>
                </c:pt>
                <c:pt idx="10">
                  <c:v>2387.8035509323263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F3C8-4243-BF5B-200471A2688F}"/>
            </c:ext>
          </c:extLst>
        </c:ser>
        <c:ser>
          <c:idx val="78"/>
          <c:order val="7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RESULTS'!$B$81:$L$81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8804.4720798890503</c:v>
                </c:pt>
                <c:pt idx="2">
                  <c:v>8674.1615145543001</c:v>
                </c:pt>
                <c:pt idx="3">
                  <c:v>15170.300640043926</c:v>
                </c:pt>
                <c:pt idx="4">
                  <c:v>20055.882883940601</c:v>
                </c:pt>
                <c:pt idx="5">
                  <c:v>29342.15131231791</c:v>
                </c:pt>
                <c:pt idx="6">
                  <c:v>47464.29470425914</c:v>
                </c:pt>
                <c:pt idx="7">
                  <c:v>50536.218284605682</c:v>
                </c:pt>
                <c:pt idx="8">
                  <c:v>44705.858661157836</c:v>
                </c:pt>
                <c:pt idx="9">
                  <c:v>73648.293806355112</c:v>
                </c:pt>
                <c:pt idx="10">
                  <c:v>109103.0214829824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F3C8-4243-BF5B-200471A2688F}"/>
            </c:ext>
          </c:extLst>
        </c:ser>
        <c:ser>
          <c:idx val="79"/>
          <c:order val="7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RESULTS'!$B$82:$L$82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9399.9153370550885</c:v>
                </c:pt>
                <c:pt idx="2">
                  <c:v>16903.258852866031</c:v>
                </c:pt>
                <c:pt idx="3">
                  <c:v>17591.652415824374</c:v>
                </c:pt>
                <c:pt idx="4">
                  <c:v>16222.82526276878</c:v>
                </c:pt>
                <c:pt idx="5">
                  <c:v>20769.074581852325</c:v>
                </c:pt>
                <c:pt idx="6">
                  <c:v>37409.480486727662</c:v>
                </c:pt>
                <c:pt idx="7">
                  <c:v>30266.073207229172</c:v>
                </c:pt>
                <c:pt idx="8">
                  <c:v>39521.416464108283</c:v>
                </c:pt>
                <c:pt idx="9">
                  <c:v>54440.373554703758</c:v>
                </c:pt>
                <c:pt idx="10">
                  <c:v>75386.571286559774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F3C8-4243-BF5B-200471A2688F}"/>
            </c:ext>
          </c:extLst>
        </c:ser>
        <c:ser>
          <c:idx val="80"/>
          <c:order val="8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RESULTS'!$B$83:$L$83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7699.5065423824763</c:v>
                </c:pt>
                <c:pt idx="2">
                  <c:v>10594.188431798011</c:v>
                </c:pt>
                <c:pt idx="3">
                  <c:v>6578.9990073956487</c:v>
                </c:pt>
                <c:pt idx="4">
                  <c:v>6455.4285979243996</c:v>
                </c:pt>
                <c:pt idx="5">
                  <c:v>9367.378904976953</c:v>
                </c:pt>
                <c:pt idx="6">
                  <c:v>9605.7852851795124</c:v>
                </c:pt>
                <c:pt idx="7">
                  <c:v>16703.249822462116</c:v>
                </c:pt>
                <c:pt idx="8">
                  <c:v>16112.124532970975</c:v>
                </c:pt>
                <c:pt idx="9">
                  <c:v>16892.87795738475</c:v>
                </c:pt>
                <c:pt idx="10">
                  <c:v>14686.586359425291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F3C8-4243-BF5B-200471A2688F}"/>
            </c:ext>
          </c:extLst>
        </c:ser>
        <c:ser>
          <c:idx val="81"/>
          <c:order val="8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RESULTS'!$B$84:$L$84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5975.3784253268605</c:v>
                </c:pt>
                <c:pt idx="2">
                  <c:v>3426.1132181570347</c:v>
                </c:pt>
                <c:pt idx="3">
                  <c:v>2292.3416778770834</c:v>
                </c:pt>
                <c:pt idx="4">
                  <c:v>8033.4260120429408</c:v>
                </c:pt>
                <c:pt idx="5">
                  <c:v>10442.949280825715</c:v>
                </c:pt>
                <c:pt idx="6">
                  <c:v>11760.739748696116</c:v>
                </c:pt>
                <c:pt idx="7">
                  <c:v>18401.038174690482</c:v>
                </c:pt>
                <c:pt idx="8">
                  <c:v>37576.435447829368</c:v>
                </c:pt>
                <c:pt idx="9">
                  <c:v>38564.671935795719</c:v>
                </c:pt>
                <c:pt idx="10">
                  <c:v>44748.155376674898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F3C8-4243-BF5B-200471A2688F}"/>
            </c:ext>
          </c:extLst>
        </c:ser>
        <c:ser>
          <c:idx val="82"/>
          <c:order val="8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RESULTS'!$B$85:$L$85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2745.661751432106</c:v>
                </c:pt>
                <c:pt idx="2">
                  <c:v>5563.5049590308954</c:v>
                </c:pt>
                <c:pt idx="3">
                  <c:v>1672.9684159161861</c:v>
                </c:pt>
                <c:pt idx="4">
                  <c:v>4879.6155847951286</c:v>
                </c:pt>
                <c:pt idx="5">
                  <c:v>6101.7458681225053</c:v>
                </c:pt>
                <c:pt idx="6">
                  <c:v>4658.9675715789617</c:v>
                </c:pt>
                <c:pt idx="7">
                  <c:v>3597.2002709217986</c:v>
                </c:pt>
                <c:pt idx="8">
                  <c:v>7579.9203462888217</c:v>
                </c:pt>
                <c:pt idx="9">
                  <c:v>23528.422136898567</c:v>
                </c:pt>
                <c:pt idx="10">
                  <c:v>22816.520517338904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F3C8-4243-BF5B-200471A2688F}"/>
            </c:ext>
          </c:extLst>
        </c:ser>
        <c:ser>
          <c:idx val="83"/>
          <c:order val="8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RESULTS'!$B$86:$L$86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9348.897732876183</c:v>
                </c:pt>
                <c:pt idx="2">
                  <c:v>12767.349430025457</c:v>
                </c:pt>
                <c:pt idx="3">
                  <c:v>13095.012050236015</c:v>
                </c:pt>
                <c:pt idx="4">
                  <c:v>13765.084205118816</c:v>
                </c:pt>
                <c:pt idx="5">
                  <c:v>11826.649867389291</c:v>
                </c:pt>
                <c:pt idx="6">
                  <c:v>12192.319342829913</c:v>
                </c:pt>
                <c:pt idx="7">
                  <c:v>15006.919637726503</c:v>
                </c:pt>
                <c:pt idx="8">
                  <c:v>19737.681108415327</c:v>
                </c:pt>
                <c:pt idx="9">
                  <c:v>27784.658370813479</c:v>
                </c:pt>
                <c:pt idx="10">
                  <c:v>30380.831146993463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F3C8-4243-BF5B-200471A2688F}"/>
            </c:ext>
          </c:extLst>
        </c:ser>
        <c:ser>
          <c:idx val="84"/>
          <c:order val="8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RESULTS'!$B$87:$L$87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3063.7289151493187</c:v>
                </c:pt>
                <c:pt idx="2">
                  <c:v>2872.3634571117736</c:v>
                </c:pt>
                <c:pt idx="3">
                  <c:v>1547.8559043558234</c:v>
                </c:pt>
                <c:pt idx="4">
                  <c:v>916.6184262504421</c:v>
                </c:pt>
                <c:pt idx="5">
                  <c:v>683.49465056293593</c:v>
                </c:pt>
                <c:pt idx="6">
                  <c:v>782.04563507377952</c:v>
                </c:pt>
                <c:pt idx="7">
                  <c:v>2412.4666155017048</c:v>
                </c:pt>
                <c:pt idx="8">
                  <c:v>4217.615636989387</c:v>
                </c:pt>
                <c:pt idx="9">
                  <c:v>5830.3641133472629</c:v>
                </c:pt>
                <c:pt idx="10">
                  <c:v>6065.9082784539551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F3C8-4243-BF5B-200471A2688F}"/>
            </c:ext>
          </c:extLst>
        </c:ser>
        <c:ser>
          <c:idx val="85"/>
          <c:order val="8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RESULTS'!$B$88:$L$88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10105.984065803332</c:v>
                </c:pt>
                <c:pt idx="2">
                  <c:v>4749.3033323697127</c:v>
                </c:pt>
                <c:pt idx="3">
                  <c:v>4550.860315783797</c:v>
                </c:pt>
                <c:pt idx="4">
                  <c:v>5382.0652915759601</c:v>
                </c:pt>
                <c:pt idx="5">
                  <c:v>8148.8022560568861</c:v>
                </c:pt>
                <c:pt idx="6">
                  <c:v>9390.5539551993825</c:v>
                </c:pt>
                <c:pt idx="7">
                  <c:v>11422.708980966947</c:v>
                </c:pt>
                <c:pt idx="8">
                  <c:v>11349.307039253976</c:v>
                </c:pt>
                <c:pt idx="9">
                  <c:v>11380.499227107675</c:v>
                </c:pt>
                <c:pt idx="10">
                  <c:v>13075.006089066548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F3C8-4243-BF5B-200471A2688F}"/>
            </c:ext>
          </c:extLst>
        </c:ser>
        <c:ser>
          <c:idx val="86"/>
          <c:order val="8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RESULTS'!$B$89:$L$89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3337.2351814505319</c:v>
                </c:pt>
                <c:pt idx="2">
                  <c:v>4536.6461270551299</c:v>
                </c:pt>
                <c:pt idx="3">
                  <c:v>9518.4949598060211</c:v>
                </c:pt>
                <c:pt idx="4">
                  <c:v>14340.856924028449</c:v>
                </c:pt>
                <c:pt idx="5">
                  <c:v>15192.995524961909</c:v>
                </c:pt>
                <c:pt idx="6">
                  <c:v>30607.059824664284</c:v>
                </c:pt>
                <c:pt idx="7">
                  <c:v>51632.035559237142</c:v>
                </c:pt>
                <c:pt idx="8">
                  <c:v>82991.224065109011</c:v>
                </c:pt>
                <c:pt idx="9">
                  <c:v>85879.722997561985</c:v>
                </c:pt>
                <c:pt idx="10">
                  <c:v>61008.351152673873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F3C8-4243-BF5B-200471A2688F}"/>
            </c:ext>
          </c:extLst>
        </c:ser>
        <c:ser>
          <c:idx val="87"/>
          <c:order val="8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RESULTS'!$B$90:$L$90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5195.0111904289297</c:v>
                </c:pt>
                <c:pt idx="2">
                  <c:v>5010.1263735844332</c:v>
                </c:pt>
                <c:pt idx="3">
                  <c:v>2771.3801298447179</c:v>
                </c:pt>
                <c:pt idx="4">
                  <c:v>2162.8123331069828</c:v>
                </c:pt>
                <c:pt idx="5">
                  <c:v>-343.37986931045725</c:v>
                </c:pt>
                <c:pt idx="6">
                  <c:v>2047.543601674297</c:v>
                </c:pt>
                <c:pt idx="7">
                  <c:v>5348.0667799092917</c:v>
                </c:pt>
                <c:pt idx="8">
                  <c:v>8632.8682148215248</c:v>
                </c:pt>
                <c:pt idx="9">
                  <c:v>17132.509782332272</c:v>
                </c:pt>
                <c:pt idx="10">
                  <c:v>16292.462980690325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F3C8-4243-BF5B-200471A2688F}"/>
            </c:ext>
          </c:extLst>
        </c:ser>
        <c:ser>
          <c:idx val="88"/>
          <c:order val="8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RESULTS'!$B$91:$L$91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6029.2719774107227</c:v>
                </c:pt>
                <c:pt idx="2">
                  <c:v>5559.8577109472153</c:v>
                </c:pt>
                <c:pt idx="3">
                  <c:v>5469.8496559561954</c:v>
                </c:pt>
                <c:pt idx="4">
                  <c:v>7704.7196394894781</c:v>
                </c:pt>
                <c:pt idx="5">
                  <c:v>9040.850669994732</c:v>
                </c:pt>
                <c:pt idx="6">
                  <c:v>12889.650986543467</c:v>
                </c:pt>
                <c:pt idx="7">
                  <c:v>16744.881724809977</c:v>
                </c:pt>
                <c:pt idx="8">
                  <c:v>21957.136214500482</c:v>
                </c:pt>
                <c:pt idx="9">
                  <c:v>20653.149727741675</c:v>
                </c:pt>
                <c:pt idx="10">
                  <c:v>38857.128133431586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F3C8-4243-BF5B-200471A2688F}"/>
            </c:ext>
          </c:extLst>
        </c:ser>
        <c:ser>
          <c:idx val="89"/>
          <c:order val="8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RESULTS'!$B$92:$L$92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6953.159053279418</c:v>
                </c:pt>
                <c:pt idx="2">
                  <c:v>7650.8593836455657</c:v>
                </c:pt>
                <c:pt idx="3">
                  <c:v>12675.062702726995</c:v>
                </c:pt>
                <c:pt idx="4">
                  <c:v>17750.585067642209</c:v>
                </c:pt>
                <c:pt idx="5">
                  <c:v>18900.295005875985</c:v>
                </c:pt>
                <c:pt idx="6">
                  <c:v>27636.656286690624</c:v>
                </c:pt>
                <c:pt idx="7">
                  <c:v>21994.947976631403</c:v>
                </c:pt>
                <c:pt idx="8">
                  <c:v>22429.454542454503</c:v>
                </c:pt>
                <c:pt idx="9">
                  <c:v>27473.722434899362</c:v>
                </c:pt>
                <c:pt idx="10">
                  <c:v>46071.585236529747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F3C8-4243-BF5B-200471A2688F}"/>
            </c:ext>
          </c:extLst>
        </c:ser>
        <c:ser>
          <c:idx val="90"/>
          <c:order val="9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RESULTS'!$B$93:$L$93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7903.2013668948512</c:v>
                </c:pt>
                <c:pt idx="2">
                  <c:v>9152.7110882757024</c:v>
                </c:pt>
                <c:pt idx="3">
                  <c:v>6520.0191916390359</c:v>
                </c:pt>
                <c:pt idx="4">
                  <c:v>2946.6900097973339</c:v>
                </c:pt>
                <c:pt idx="5">
                  <c:v>3234.4263594696222</c:v>
                </c:pt>
                <c:pt idx="6">
                  <c:v>895.34532860507261</c:v>
                </c:pt>
                <c:pt idx="7">
                  <c:v>401.36013875455228</c:v>
                </c:pt>
                <c:pt idx="8">
                  <c:v>2640.7418148351671</c:v>
                </c:pt>
                <c:pt idx="9">
                  <c:v>2862.2520101953041</c:v>
                </c:pt>
                <c:pt idx="10">
                  <c:v>4069.414304216747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F3C8-4243-BF5B-200471A2688F}"/>
            </c:ext>
          </c:extLst>
        </c:ser>
        <c:ser>
          <c:idx val="91"/>
          <c:order val="9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RESULTS'!$B$94:$L$94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8277.0163203552911</c:v>
                </c:pt>
                <c:pt idx="2">
                  <c:v>10386.532468404212</c:v>
                </c:pt>
                <c:pt idx="3">
                  <c:v>16567.772590523742</c:v>
                </c:pt>
                <c:pt idx="4">
                  <c:v>21248.4676366438</c:v>
                </c:pt>
                <c:pt idx="5">
                  <c:v>20002.179335479777</c:v>
                </c:pt>
                <c:pt idx="6">
                  <c:v>15107.693472432889</c:v>
                </c:pt>
                <c:pt idx="7">
                  <c:v>14401.444854973561</c:v>
                </c:pt>
                <c:pt idx="8">
                  <c:v>25457.596024710107</c:v>
                </c:pt>
                <c:pt idx="9">
                  <c:v>23704.651961430103</c:v>
                </c:pt>
                <c:pt idx="10">
                  <c:v>20060.299865787634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F3C8-4243-BF5B-200471A2688F}"/>
            </c:ext>
          </c:extLst>
        </c:ser>
        <c:ser>
          <c:idx val="92"/>
          <c:order val="9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RESULTS'!$B$95:$L$95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4797.3368684071065</c:v>
                </c:pt>
                <c:pt idx="2">
                  <c:v>3539.5497057326093</c:v>
                </c:pt>
                <c:pt idx="3">
                  <c:v>951.95321860079639</c:v>
                </c:pt>
                <c:pt idx="4">
                  <c:v>3444.0219277343085</c:v>
                </c:pt>
                <c:pt idx="5">
                  <c:v>7743.3303065530654</c:v>
                </c:pt>
                <c:pt idx="6">
                  <c:v>7319.3754999801313</c:v>
                </c:pt>
                <c:pt idx="7">
                  <c:v>5808.8618117592869</c:v>
                </c:pt>
                <c:pt idx="8">
                  <c:v>-353.14924874883764</c:v>
                </c:pt>
                <c:pt idx="9">
                  <c:v>-434.00006778918396</c:v>
                </c:pt>
                <c:pt idx="10">
                  <c:v>811.28227381330998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F3C8-4243-BF5B-200471A2688F}"/>
            </c:ext>
          </c:extLst>
        </c:ser>
        <c:ser>
          <c:idx val="93"/>
          <c:order val="9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RESULTS'!$B$96:$L$96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5472.6130536874243</c:v>
                </c:pt>
                <c:pt idx="2">
                  <c:v>4989.8134084815356</c:v>
                </c:pt>
                <c:pt idx="3">
                  <c:v>3953.2001939040165</c:v>
                </c:pt>
                <c:pt idx="4">
                  <c:v>2400.7541227954434</c:v>
                </c:pt>
                <c:pt idx="5">
                  <c:v>2620.7061685712897</c:v>
                </c:pt>
                <c:pt idx="6">
                  <c:v>4042.9829781400022</c:v>
                </c:pt>
                <c:pt idx="7">
                  <c:v>2240.8497458266629</c:v>
                </c:pt>
                <c:pt idx="8">
                  <c:v>3181.6502477944759</c:v>
                </c:pt>
                <c:pt idx="9">
                  <c:v>4359.4564371380293</c:v>
                </c:pt>
                <c:pt idx="10">
                  <c:v>9008.3529346070918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F3C8-4243-BF5B-200471A2688F}"/>
            </c:ext>
          </c:extLst>
        </c:ser>
        <c:ser>
          <c:idx val="94"/>
          <c:order val="9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RESULTS'!$B$97:$L$97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7708.5078541018993</c:v>
                </c:pt>
                <c:pt idx="2">
                  <c:v>13135.21530671803</c:v>
                </c:pt>
                <c:pt idx="3">
                  <c:v>3363.9380386709709</c:v>
                </c:pt>
                <c:pt idx="4">
                  <c:v>5175.8752120216959</c:v>
                </c:pt>
                <c:pt idx="5">
                  <c:v>7495.0381980189031</c:v>
                </c:pt>
                <c:pt idx="6">
                  <c:v>16715.751388805322</c:v>
                </c:pt>
                <c:pt idx="7">
                  <c:v>29001.181584661885</c:v>
                </c:pt>
                <c:pt idx="8">
                  <c:v>38634.974105733731</c:v>
                </c:pt>
                <c:pt idx="9">
                  <c:v>46495.533917845351</c:v>
                </c:pt>
                <c:pt idx="10">
                  <c:v>68992.829650818909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F3C8-4243-BF5B-200471A2688F}"/>
            </c:ext>
          </c:extLst>
        </c:ser>
        <c:ser>
          <c:idx val="95"/>
          <c:order val="9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RESULTS'!$B$98:$L$98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5594.5476899291971</c:v>
                </c:pt>
                <c:pt idx="2">
                  <c:v>8769.5857174530993</c:v>
                </c:pt>
                <c:pt idx="3">
                  <c:v>4296.0699620527848</c:v>
                </c:pt>
                <c:pt idx="4">
                  <c:v>5301.0510118511756</c:v>
                </c:pt>
                <c:pt idx="5">
                  <c:v>7651.419081926515</c:v>
                </c:pt>
                <c:pt idx="6">
                  <c:v>8865.4924814788064</c:v>
                </c:pt>
                <c:pt idx="7">
                  <c:v>5489.2727687985353</c:v>
                </c:pt>
                <c:pt idx="8">
                  <c:v>8237.9856623591022</c:v>
                </c:pt>
                <c:pt idx="9">
                  <c:v>13717.113308154032</c:v>
                </c:pt>
                <c:pt idx="10">
                  <c:v>16619.771519061338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F3C8-4243-BF5B-200471A2688F}"/>
            </c:ext>
          </c:extLst>
        </c:ser>
        <c:ser>
          <c:idx val="96"/>
          <c:order val="9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RESULTS'!$B$99:$L$99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10611.089238340261</c:v>
                </c:pt>
                <c:pt idx="2">
                  <c:v>11693.640909688344</c:v>
                </c:pt>
                <c:pt idx="3">
                  <c:v>18771.973851584233</c:v>
                </c:pt>
                <c:pt idx="4">
                  <c:v>25253.191921565307</c:v>
                </c:pt>
                <c:pt idx="5">
                  <c:v>29772.348773337289</c:v>
                </c:pt>
                <c:pt idx="6">
                  <c:v>32504.945168956736</c:v>
                </c:pt>
                <c:pt idx="7">
                  <c:v>49182.935011867412</c:v>
                </c:pt>
                <c:pt idx="8">
                  <c:v>37324.002351694951</c:v>
                </c:pt>
                <c:pt idx="9">
                  <c:v>69891.132109138038</c:v>
                </c:pt>
                <c:pt idx="10">
                  <c:v>61506.399386755991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F3C8-4243-BF5B-200471A2688F}"/>
            </c:ext>
          </c:extLst>
        </c:ser>
        <c:ser>
          <c:idx val="97"/>
          <c:order val="9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RESULTS'!$B$100:$L$100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5174.7432744076741</c:v>
                </c:pt>
                <c:pt idx="2">
                  <c:v>5849.9922146681711</c:v>
                </c:pt>
                <c:pt idx="3">
                  <c:v>9246.5946874941874</c:v>
                </c:pt>
                <c:pt idx="4">
                  <c:v>17478.79403311438</c:v>
                </c:pt>
                <c:pt idx="5">
                  <c:v>18693.190113718891</c:v>
                </c:pt>
                <c:pt idx="6">
                  <c:v>27065.425065758605</c:v>
                </c:pt>
                <c:pt idx="7">
                  <c:v>37172.443999022529</c:v>
                </c:pt>
                <c:pt idx="8">
                  <c:v>32060.429917720139</c:v>
                </c:pt>
                <c:pt idx="9">
                  <c:v>37257.383198644362</c:v>
                </c:pt>
                <c:pt idx="10">
                  <c:v>46231.622494068761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F3C8-4243-BF5B-200471A2688F}"/>
            </c:ext>
          </c:extLst>
        </c:ser>
        <c:ser>
          <c:idx val="98"/>
          <c:order val="9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RESULTS'!$B$101:$L$101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3267.1768095641255</c:v>
                </c:pt>
                <c:pt idx="2">
                  <c:v>4570.0095022408987</c:v>
                </c:pt>
                <c:pt idx="3">
                  <c:v>7260.0877600954555</c:v>
                </c:pt>
                <c:pt idx="4">
                  <c:v>9364.730716262924</c:v>
                </c:pt>
                <c:pt idx="5">
                  <c:v>12458.71053691845</c:v>
                </c:pt>
                <c:pt idx="6">
                  <c:v>12195.58095024907</c:v>
                </c:pt>
                <c:pt idx="7">
                  <c:v>16086.984402232323</c:v>
                </c:pt>
                <c:pt idx="8">
                  <c:v>16796.377408902299</c:v>
                </c:pt>
                <c:pt idx="9">
                  <c:v>23405.595940481366</c:v>
                </c:pt>
                <c:pt idx="10">
                  <c:v>46369.669908546792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F3C8-4243-BF5B-200471A2688F}"/>
            </c:ext>
          </c:extLst>
        </c:ser>
        <c:ser>
          <c:idx val="99"/>
          <c:order val="9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RESULTS'!$B$102:$L$102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2087.1516076906692</c:v>
                </c:pt>
                <c:pt idx="2">
                  <c:v>2416.5443028015543</c:v>
                </c:pt>
                <c:pt idx="3">
                  <c:v>2824.2049639162078</c:v>
                </c:pt>
                <c:pt idx="4">
                  <c:v>3915.5882327643812</c:v>
                </c:pt>
                <c:pt idx="5">
                  <c:v>10905.462739328017</c:v>
                </c:pt>
                <c:pt idx="6">
                  <c:v>15099.987919653551</c:v>
                </c:pt>
                <c:pt idx="7">
                  <c:v>20909.428294337355</c:v>
                </c:pt>
                <c:pt idx="8">
                  <c:v>24950.547371908156</c:v>
                </c:pt>
                <c:pt idx="9">
                  <c:v>23244.097148811776</c:v>
                </c:pt>
                <c:pt idx="10">
                  <c:v>15159.682801379855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F3C8-4243-BF5B-200471A2688F}"/>
            </c:ext>
          </c:extLst>
        </c:ser>
        <c:ser>
          <c:idx val="100"/>
          <c:order val="10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RESULTS'!$B$103:$L$103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2729.4588327340234</c:v>
                </c:pt>
                <c:pt idx="2">
                  <c:v>2511.7965606767511</c:v>
                </c:pt>
                <c:pt idx="3">
                  <c:v>3479.770770500103</c:v>
                </c:pt>
                <c:pt idx="4">
                  <c:v>2181.0524301159885</c:v>
                </c:pt>
                <c:pt idx="5">
                  <c:v>2272.3051396167293</c:v>
                </c:pt>
                <c:pt idx="6">
                  <c:v>1492.9715135966244</c:v>
                </c:pt>
                <c:pt idx="7">
                  <c:v>2149.1886296071552</c:v>
                </c:pt>
                <c:pt idx="8">
                  <c:v>1302.7663026545224</c:v>
                </c:pt>
                <c:pt idx="9">
                  <c:v>4061.9435338588428</c:v>
                </c:pt>
                <c:pt idx="10">
                  <c:v>4346.6627676899698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F3C8-4243-BF5B-200471A2688F}"/>
            </c:ext>
          </c:extLst>
        </c:ser>
        <c:ser>
          <c:idx val="101"/>
          <c:order val="10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RESULTS'!$B$104:$L$104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1815.5051748459</c:v>
                </c:pt>
                <c:pt idx="2">
                  <c:v>1723.8707368423065</c:v>
                </c:pt>
                <c:pt idx="3">
                  <c:v>3608.2920340111787</c:v>
                </c:pt>
                <c:pt idx="4">
                  <c:v>3833.0269483250759</c:v>
                </c:pt>
                <c:pt idx="5">
                  <c:v>3401.6278305984915</c:v>
                </c:pt>
                <c:pt idx="6">
                  <c:v>8789.0894665817887</c:v>
                </c:pt>
                <c:pt idx="7">
                  <c:v>6218.7272523191623</c:v>
                </c:pt>
                <c:pt idx="8">
                  <c:v>7285.1922594929329</c:v>
                </c:pt>
                <c:pt idx="9">
                  <c:v>3337.3539824016898</c:v>
                </c:pt>
                <c:pt idx="10">
                  <c:v>4657.0954385608275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F3C8-4243-BF5B-200471A2688F}"/>
            </c:ext>
          </c:extLst>
        </c:ser>
        <c:ser>
          <c:idx val="102"/>
          <c:order val="10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RESULTS'!$B$105:$L$105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5045.4598022951031</c:v>
                </c:pt>
                <c:pt idx="2">
                  <c:v>2820.9625357996019</c:v>
                </c:pt>
                <c:pt idx="3">
                  <c:v>2821.62842830312</c:v>
                </c:pt>
                <c:pt idx="4">
                  <c:v>9007.8967229417194</c:v>
                </c:pt>
                <c:pt idx="5">
                  <c:v>16934.992253264667</c:v>
                </c:pt>
                <c:pt idx="6">
                  <c:v>33429.742306132066</c:v>
                </c:pt>
                <c:pt idx="7">
                  <c:v>21086.705525824214</c:v>
                </c:pt>
                <c:pt idx="8">
                  <c:v>23025.00876686121</c:v>
                </c:pt>
                <c:pt idx="9">
                  <c:v>17088.344108753128</c:v>
                </c:pt>
                <c:pt idx="10">
                  <c:v>23412.474985785353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F3C8-4243-BF5B-200471A2688F}"/>
            </c:ext>
          </c:extLst>
        </c:ser>
        <c:ser>
          <c:idx val="103"/>
          <c:order val="10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RESULTS'!$B$106:$L$106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8488.6611541449529</c:v>
                </c:pt>
                <c:pt idx="2">
                  <c:v>11268.273688826777</c:v>
                </c:pt>
                <c:pt idx="3">
                  <c:v>11046.350154003463</c:v>
                </c:pt>
                <c:pt idx="4">
                  <c:v>18346.357672221846</c:v>
                </c:pt>
                <c:pt idx="5">
                  <c:v>21898.505710987847</c:v>
                </c:pt>
                <c:pt idx="6">
                  <c:v>27986.132660308114</c:v>
                </c:pt>
                <c:pt idx="7">
                  <c:v>42967.249861533543</c:v>
                </c:pt>
                <c:pt idx="8">
                  <c:v>53832.002365444758</c:v>
                </c:pt>
                <c:pt idx="9">
                  <c:v>73389.975045981773</c:v>
                </c:pt>
                <c:pt idx="10">
                  <c:v>65368.075432874801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F3C8-4243-BF5B-200471A2688F}"/>
            </c:ext>
          </c:extLst>
        </c:ser>
        <c:ser>
          <c:idx val="104"/>
          <c:order val="10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RESULTS'!$B$107:$L$107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9699.1071614297707</c:v>
                </c:pt>
                <c:pt idx="2">
                  <c:v>4256.445913670852</c:v>
                </c:pt>
                <c:pt idx="3">
                  <c:v>5289.3079525618832</c:v>
                </c:pt>
                <c:pt idx="4">
                  <c:v>10828.317338762155</c:v>
                </c:pt>
                <c:pt idx="5">
                  <c:v>10864.487122639912</c:v>
                </c:pt>
                <c:pt idx="6">
                  <c:v>14053.34754825108</c:v>
                </c:pt>
                <c:pt idx="7">
                  <c:v>17196.728786790205</c:v>
                </c:pt>
                <c:pt idx="8">
                  <c:v>19817.497762438936</c:v>
                </c:pt>
                <c:pt idx="9">
                  <c:v>38151.546632596837</c:v>
                </c:pt>
                <c:pt idx="10">
                  <c:v>64468.141139510903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F3C8-4243-BF5B-200471A2688F}"/>
            </c:ext>
          </c:extLst>
        </c:ser>
        <c:ser>
          <c:idx val="105"/>
          <c:order val="10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RESULTS'!$B$108:$L$108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7510.8358830308025</c:v>
                </c:pt>
                <c:pt idx="2">
                  <c:v>9361.8142675429062</c:v>
                </c:pt>
                <c:pt idx="3">
                  <c:v>15633.772931099593</c:v>
                </c:pt>
                <c:pt idx="4">
                  <c:v>22838.802819340559</c:v>
                </c:pt>
                <c:pt idx="5">
                  <c:v>13710.420549099563</c:v>
                </c:pt>
                <c:pt idx="6">
                  <c:v>13302.907648116747</c:v>
                </c:pt>
                <c:pt idx="7">
                  <c:v>24656.089447168346</c:v>
                </c:pt>
                <c:pt idx="8">
                  <c:v>31572.446960022578</c:v>
                </c:pt>
                <c:pt idx="9">
                  <c:v>52648.509451495323</c:v>
                </c:pt>
                <c:pt idx="10">
                  <c:v>45901.256091858661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F3C8-4243-BF5B-200471A2688F}"/>
            </c:ext>
          </c:extLst>
        </c:ser>
        <c:ser>
          <c:idx val="106"/>
          <c:order val="10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RESULTS'!$B$109:$L$109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3143.6257231829604</c:v>
                </c:pt>
                <c:pt idx="2">
                  <c:v>5329.1250779242164</c:v>
                </c:pt>
                <c:pt idx="3">
                  <c:v>10108.997926567507</c:v>
                </c:pt>
                <c:pt idx="4">
                  <c:v>18679.779612570885</c:v>
                </c:pt>
                <c:pt idx="5">
                  <c:v>17015.891421984452</c:v>
                </c:pt>
                <c:pt idx="6">
                  <c:v>11590.305047858206</c:v>
                </c:pt>
                <c:pt idx="7">
                  <c:v>16131.467809490954</c:v>
                </c:pt>
                <c:pt idx="8">
                  <c:v>13322.742570604463</c:v>
                </c:pt>
                <c:pt idx="9">
                  <c:v>15805.761854531574</c:v>
                </c:pt>
                <c:pt idx="10">
                  <c:v>17754.691877112211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F3C8-4243-BF5B-200471A2688F}"/>
            </c:ext>
          </c:extLst>
        </c:ser>
        <c:ser>
          <c:idx val="107"/>
          <c:order val="10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RESULTS'!$B$110:$L$110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4697.492901057587</c:v>
                </c:pt>
                <c:pt idx="2">
                  <c:v>8720.2838775434866</c:v>
                </c:pt>
                <c:pt idx="3">
                  <c:v>8580.9404478911474</c:v>
                </c:pt>
                <c:pt idx="4">
                  <c:v>9245.3933716756892</c:v>
                </c:pt>
                <c:pt idx="5">
                  <c:v>11047.445844269872</c:v>
                </c:pt>
                <c:pt idx="6">
                  <c:v>14859.734945461849</c:v>
                </c:pt>
                <c:pt idx="7">
                  <c:v>11991.694234119659</c:v>
                </c:pt>
                <c:pt idx="8">
                  <c:v>9482.0666954550379</c:v>
                </c:pt>
                <c:pt idx="9">
                  <c:v>7683.7076383692638</c:v>
                </c:pt>
                <c:pt idx="10">
                  <c:v>11174.966119572578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F3C8-4243-BF5B-200471A2688F}"/>
            </c:ext>
          </c:extLst>
        </c:ser>
        <c:ser>
          <c:idx val="108"/>
          <c:order val="10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RESULTS'!$B$111:$L$111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-996.74502782823038</c:v>
                </c:pt>
                <c:pt idx="2">
                  <c:v>-1543.3419728512558</c:v>
                </c:pt>
                <c:pt idx="3">
                  <c:v>-2796.7867977061978</c:v>
                </c:pt>
                <c:pt idx="4">
                  <c:v>-2475.0157042064184</c:v>
                </c:pt>
                <c:pt idx="5">
                  <c:v>-2986.1374038016211</c:v>
                </c:pt>
                <c:pt idx="6">
                  <c:v>-2283.3271658028175</c:v>
                </c:pt>
                <c:pt idx="7">
                  <c:v>-3615.0199559593379</c:v>
                </c:pt>
                <c:pt idx="8">
                  <c:v>-3982.9273341202211</c:v>
                </c:pt>
                <c:pt idx="9">
                  <c:v>-3830.0841691186024</c:v>
                </c:pt>
                <c:pt idx="10">
                  <c:v>-3011.5694462335596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F3C8-4243-BF5B-200471A2688F}"/>
            </c:ext>
          </c:extLst>
        </c:ser>
        <c:ser>
          <c:idx val="109"/>
          <c:order val="10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RESULTS'!$B$112:$L$112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13683.240327657859</c:v>
                </c:pt>
                <c:pt idx="2">
                  <c:v>26717.041283413742</c:v>
                </c:pt>
                <c:pt idx="3">
                  <c:v>24770.971162527418</c:v>
                </c:pt>
                <c:pt idx="4">
                  <c:v>32534.523365419256</c:v>
                </c:pt>
                <c:pt idx="5">
                  <c:v>37914.379391208757</c:v>
                </c:pt>
                <c:pt idx="6">
                  <c:v>42104.695473157401</c:v>
                </c:pt>
                <c:pt idx="7">
                  <c:v>44853.744445479642</c:v>
                </c:pt>
                <c:pt idx="8">
                  <c:v>66923.419388381415</c:v>
                </c:pt>
                <c:pt idx="9">
                  <c:v>95234.256597048399</c:v>
                </c:pt>
                <c:pt idx="10">
                  <c:v>135684.50508476992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F3C8-4243-BF5B-200471A2688F}"/>
            </c:ext>
          </c:extLst>
        </c:ser>
        <c:ser>
          <c:idx val="110"/>
          <c:order val="1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RESULTS'!$B$113:$L$113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7787.5296241256365</c:v>
                </c:pt>
                <c:pt idx="2">
                  <c:v>11214.825504496765</c:v>
                </c:pt>
                <c:pt idx="3">
                  <c:v>6915.1517363756047</c:v>
                </c:pt>
                <c:pt idx="4">
                  <c:v>9939.497364105051</c:v>
                </c:pt>
                <c:pt idx="5">
                  <c:v>20908.348328681121</c:v>
                </c:pt>
                <c:pt idx="6">
                  <c:v>20084.543581485104</c:v>
                </c:pt>
                <c:pt idx="7">
                  <c:v>31715.125508609271</c:v>
                </c:pt>
                <c:pt idx="8">
                  <c:v>38068.925756482342</c:v>
                </c:pt>
                <c:pt idx="9">
                  <c:v>51948.911012486802</c:v>
                </c:pt>
                <c:pt idx="10">
                  <c:v>36299.118197883123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F3C8-4243-BF5B-200471A2688F}"/>
            </c:ext>
          </c:extLst>
        </c:ser>
        <c:ser>
          <c:idx val="111"/>
          <c:order val="1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RESULTS'!$B$114:$L$114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5251.9545367701539</c:v>
                </c:pt>
                <c:pt idx="2">
                  <c:v>3515.9627906187798</c:v>
                </c:pt>
                <c:pt idx="3">
                  <c:v>5572.5214852472491</c:v>
                </c:pt>
                <c:pt idx="4">
                  <c:v>9831.0803838978245</c:v>
                </c:pt>
                <c:pt idx="5">
                  <c:v>15070.144021166954</c:v>
                </c:pt>
                <c:pt idx="6">
                  <c:v>10024.138584835677</c:v>
                </c:pt>
                <c:pt idx="7">
                  <c:v>11724.347986275798</c:v>
                </c:pt>
                <c:pt idx="8">
                  <c:v>13990.631907945626</c:v>
                </c:pt>
                <c:pt idx="9">
                  <c:v>9206.5789974124018</c:v>
                </c:pt>
                <c:pt idx="10">
                  <c:v>20556.839955956875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F3C8-4243-BF5B-200471A2688F}"/>
            </c:ext>
          </c:extLst>
        </c:ser>
        <c:ser>
          <c:idx val="112"/>
          <c:order val="1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RESULTS'!$B$115:$L$115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5730.1743140692615</c:v>
                </c:pt>
                <c:pt idx="2">
                  <c:v>4315.3590329252384</c:v>
                </c:pt>
                <c:pt idx="3">
                  <c:v>1108.6203441669068</c:v>
                </c:pt>
                <c:pt idx="4">
                  <c:v>3321.2250939997339</c:v>
                </c:pt>
                <c:pt idx="5">
                  <c:v>3817.1422911793434</c:v>
                </c:pt>
                <c:pt idx="6">
                  <c:v>5093.0416975157859</c:v>
                </c:pt>
                <c:pt idx="7">
                  <c:v>4266.9920018435823</c:v>
                </c:pt>
                <c:pt idx="8">
                  <c:v>2207.5188079671243</c:v>
                </c:pt>
                <c:pt idx="9">
                  <c:v>868.59189975051959</c:v>
                </c:pt>
                <c:pt idx="10">
                  <c:v>3469.3857609553625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F3C8-4243-BF5B-200471A2688F}"/>
            </c:ext>
          </c:extLst>
        </c:ser>
        <c:ser>
          <c:idx val="113"/>
          <c:order val="1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RESULTS'!$B$116:$L$116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4414.13959523415</c:v>
                </c:pt>
                <c:pt idx="2">
                  <c:v>5593.5406408067101</c:v>
                </c:pt>
                <c:pt idx="3">
                  <c:v>3581.1659771348322</c:v>
                </c:pt>
                <c:pt idx="4">
                  <c:v>9250.8989390223942</c:v>
                </c:pt>
                <c:pt idx="5">
                  <c:v>11972.473065270497</c:v>
                </c:pt>
                <c:pt idx="6">
                  <c:v>13013.107119388955</c:v>
                </c:pt>
                <c:pt idx="7">
                  <c:v>12940.667615102873</c:v>
                </c:pt>
                <c:pt idx="8">
                  <c:v>17939.535558365089</c:v>
                </c:pt>
                <c:pt idx="9">
                  <c:v>28380.046109706287</c:v>
                </c:pt>
                <c:pt idx="10">
                  <c:v>17406.883224828194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F3C8-4243-BF5B-200471A2688F}"/>
            </c:ext>
          </c:extLst>
        </c:ser>
        <c:ser>
          <c:idx val="114"/>
          <c:order val="1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RESULTS'!$B$117:$L$117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6469.3192704675639</c:v>
                </c:pt>
                <c:pt idx="2">
                  <c:v>10749.425505891542</c:v>
                </c:pt>
                <c:pt idx="3">
                  <c:v>11500.251109883719</c:v>
                </c:pt>
                <c:pt idx="4">
                  <c:v>17177.406819829444</c:v>
                </c:pt>
                <c:pt idx="5">
                  <c:v>12736.794743606246</c:v>
                </c:pt>
                <c:pt idx="6">
                  <c:v>10880.974217729698</c:v>
                </c:pt>
                <c:pt idx="7">
                  <c:v>13801.219338490555</c:v>
                </c:pt>
                <c:pt idx="8">
                  <c:v>14758.03423089713</c:v>
                </c:pt>
                <c:pt idx="9">
                  <c:v>22024.97081433711</c:v>
                </c:pt>
                <c:pt idx="10">
                  <c:v>27361.354199212499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F3C8-4243-BF5B-200471A2688F}"/>
            </c:ext>
          </c:extLst>
        </c:ser>
        <c:ser>
          <c:idx val="115"/>
          <c:order val="1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RESULTS'!$B$118:$L$118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7016.9527878865592</c:v>
                </c:pt>
                <c:pt idx="2">
                  <c:v>8770.3929299875854</c:v>
                </c:pt>
                <c:pt idx="3">
                  <c:v>2812.1146191719126</c:v>
                </c:pt>
                <c:pt idx="4">
                  <c:v>6314.5722694443102</c:v>
                </c:pt>
                <c:pt idx="5">
                  <c:v>4271.3255365805344</c:v>
                </c:pt>
                <c:pt idx="6">
                  <c:v>4311.3992188376451</c:v>
                </c:pt>
                <c:pt idx="7">
                  <c:v>3472.7790184874611</c:v>
                </c:pt>
                <c:pt idx="8">
                  <c:v>6195.8205928685311</c:v>
                </c:pt>
                <c:pt idx="9">
                  <c:v>4900.3731965267471</c:v>
                </c:pt>
                <c:pt idx="10">
                  <c:v>2991.4781729921642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F3C8-4243-BF5B-200471A2688F}"/>
            </c:ext>
          </c:extLst>
        </c:ser>
        <c:ser>
          <c:idx val="116"/>
          <c:order val="1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RESULTS'!$B$119:$L$119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1526.1377279885146</c:v>
                </c:pt>
                <c:pt idx="2">
                  <c:v>527.31978342850562</c:v>
                </c:pt>
                <c:pt idx="3">
                  <c:v>-2384.1952837761214</c:v>
                </c:pt>
                <c:pt idx="4">
                  <c:v>-393.95141742329997</c:v>
                </c:pt>
                <c:pt idx="5">
                  <c:v>608.94832424825654</c:v>
                </c:pt>
                <c:pt idx="6">
                  <c:v>2108.098401200763</c:v>
                </c:pt>
                <c:pt idx="7">
                  <c:v>-141.1917094541368</c:v>
                </c:pt>
                <c:pt idx="8">
                  <c:v>-637.18870439592229</c:v>
                </c:pt>
                <c:pt idx="9">
                  <c:v>3223.5794574174733</c:v>
                </c:pt>
                <c:pt idx="10">
                  <c:v>4634.5368859933224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F3C8-4243-BF5B-200471A2688F}"/>
            </c:ext>
          </c:extLst>
        </c:ser>
        <c:ser>
          <c:idx val="117"/>
          <c:order val="1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RESULTS'!$B$120:$L$120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4557.1142225026233</c:v>
                </c:pt>
                <c:pt idx="2">
                  <c:v>5993.5785584391288</c:v>
                </c:pt>
                <c:pt idx="3">
                  <c:v>5108.22304389684</c:v>
                </c:pt>
                <c:pt idx="4">
                  <c:v>9628.1959970359367</c:v>
                </c:pt>
                <c:pt idx="5">
                  <c:v>10256.45804717264</c:v>
                </c:pt>
                <c:pt idx="6">
                  <c:v>13844.281319621976</c:v>
                </c:pt>
                <c:pt idx="7">
                  <c:v>19724.396207523121</c:v>
                </c:pt>
                <c:pt idx="8">
                  <c:v>23825.975300808044</c:v>
                </c:pt>
                <c:pt idx="9">
                  <c:v>35522.999439766827</c:v>
                </c:pt>
                <c:pt idx="10">
                  <c:v>47409.914475091857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F3C8-4243-BF5B-200471A2688F}"/>
            </c:ext>
          </c:extLst>
        </c:ser>
        <c:ser>
          <c:idx val="118"/>
          <c:order val="1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RESULTS'!$B$121:$L$121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7669.3074655910896</c:v>
                </c:pt>
                <c:pt idx="2">
                  <c:v>5744.6435860955662</c:v>
                </c:pt>
                <c:pt idx="3">
                  <c:v>8198.4078195956954</c:v>
                </c:pt>
                <c:pt idx="4">
                  <c:v>6086.1920673961631</c:v>
                </c:pt>
                <c:pt idx="5">
                  <c:v>6939.2001041558015</c:v>
                </c:pt>
                <c:pt idx="6">
                  <c:v>6488.6285922340667</c:v>
                </c:pt>
                <c:pt idx="7">
                  <c:v>5562.277206088791</c:v>
                </c:pt>
                <c:pt idx="8">
                  <c:v>8387.6097192586294</c:v>
                </c:pt>
                <c:pt idx="9">
                  <c:v>10978.84401481796</c:v>
                </c:pt>
                <c:pt idx="10">
                  <c:v>17307.259722676805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F3C8-4243-BF5B-200471A2688F}"/>
            </c:ext>
          </c:extLst>
        </c:ser>
        <c:ser>
          <c:idx val="119"/>
          <c:order val="1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RESULTS'!$B$122:$L$122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3981.3009313647253</c:v>
                </c:pt>
                <c:pt idx="2">
                  <c:v>7369.6686377059123</c:v>
                </c:pt>
                <c:pt idx="3">
                  <c:v>9080.0448053179443</c:v>
                </c:pt>
                <c:pt idx="4">
                  <c:v>6213.9091710647699</c:v>
                </c:pt>
                <c:pt idx="5">
                  <c:v>3450.3956450681535</c:v>
                </c:pt>
                <c:pt idx="6">
                  <c:v>1495.7265138441098</c:v>
                </c:pt>
                <c:pt idx="7">
                  <c:v>-641.90917571218279</c:v>
                </c:pt>
                <c:pt idx="8">
                  <c:v>1132.8529434118509</c:v>
                </c:pt>
                <c:pt idx="9">
                  <c:v>1087.7975668016943</c:v>
                </c:pt>
                <c:pt idx="10">
                  <c:v>843.36683019893644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F3C8-4243-BF5B-200471A2688F}"/>
            </c:ext>
          </c:extLst>
        </c:ser>
        <c:ser>
          <c:idx val="120"/>
          <c:order val="1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RESULTS'!$B$123:$L$123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7765.9573495315526</c:v>
                </c:pt>
                <c:pt idx="2">
                  <c:v>8886.5557225952725</c:v>
                </c:pt>
                <c:pt idx="3">
                  <c:v>10514.420248932925</c:v>
                </c:pt>
                <c:pt idx="4">
                  <c:v>15179.203949736035</c:v>
                </c:pt>
                <c:pt idx="5">
                  <c:v>16422.024723134487</c:v>
                </c:pt>
                <c:pt idx="6">
                  <c:v>17005.921746747863</c:v>
                </c:pt>
                <c:pt idx="7">
                  <c:v>14767.770890827167</c:v>
                </c:pt>
                <c:pt idx="8">
                  <c:v>19779.880477746145</c:v>
                </c:pt>
                <c:pt idx="9">
                  <c:v>21284.006196019593</c:v>
                </c:pt>
                <c:pt idx="10">
                  <c:v>31923.646508078818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F3C8-4243-BF5B-200471A2688F}"/>
            </c:ext>
          </c:extLst>
        </c:ser>
        <c:ser>
          <c:idx val="121"/>
          <c:order val="1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RESULTS'!$B$124:$L$124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3277.1290874421911</c:v>
                </c:pt>
                <c:pt idx="2">
                  <c:v>2014.4696478920096</c:v>
                </c:pt>
                <c:pt idx="3">
                  <c:v>2519.5006342279476</c:v>
                </c:pt>
                <c:pt idx="4">
                  <c:v>3163.7757841929933</c:v>
                </c:pt>
                <c:pt idx="5">
                  <c:v>2357.5625249219447</c:v>
                </c:pt>
                <c:pt idx="6">
                  <c:v>7901.6191490710262</c:v>
                </c:pt>
                <c:pt idx="7">
                  <c:v>2967.8217904932371</c:v>
                </c:pt>
                <c:pt idx="8">
                  <c:v>7158.6586144051107</c:v>
                </c:pt>
                <c:pt idx="9">
                  <c:v>9608.7258479919692</c:v>
                </c:pt>
                <c:pt idx="10">
                  <c:v>9718.6293626181123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F3C8-4243-BF5B-200471A2688F}"/>
            </c:ext>
          </c:extLst>
        </c:ser>
        <c:ser>
          <c:idx val="122"/>
          <c:order val="1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RESULTS'!$B$125:$L$125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2583.0600482305836</c:v>
                </c:pt>
                <c:pt idx="2">
                  <c:v>6350.3790054929377</c:v>
                </c:pt>
                <c:pt idx="3">
                  <c:v>10948.668365956903</c:v>
                </c:pt>
                <c:pt idx="4">
                  <c:v>10835.262427699876</c:v>
                </c:pt>
                <c:pt idx="5">
                  <c:v>12353.200494699449</c:v>
                </c:pt>
                <c:pt idx="6">
                  <c:v>10155.11954680668</c:v>
                </c:pt>
                <c:pt idx="7">
                  <c:v>15005.816757907211</c:v>
                </c:pt>
                <c:pt idx="8">
                  <c:v>18752.087334205989</c:v>
                </c:pt>
                <c:pt idx="9">
                  <c:v>11636.629115232572</c:v>
                </c:pt>
                <c:pt idx="10">
                  <c:v>23002.918454686045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F3C8-4243-BF5B-200471A2688F}"/>
            </c:ext>
          </c:extLst>
        </c:ser>
        <c:ser>
          <c:idx val="123"/>
          <c:order val="1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RESULTS'!$B$126:$L$126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2360.3899235204935</c:v>
                </c:pt>
                <c:pt idx="2">
                  <c:v>1712.1854135538424</c:v>
                </c:pt>
                <c:pt idx="3">
                  <c:v>-772.42930852512382</c:v>
                </c:pt>
                <c:pt idx="4">
                  <c:v>-2057.5746132003951</c:v>
                </c:pt>
                <c:pt idx="5">
                  <c:v>-2794.2854927305293</c:v>
                </c:pt>
                <c:pt idx="6">
                  <c:v>-2578.9701517240969</c:v>
                </c:pt>
                <c:pt idx="7">
                  <c:v>-2698.574299563049</c:v>
                </c:pt>
                <c:pt idx="8">
                  <c:v>-3214.4797124821571</c:v>
                </c:pt>
                <c:pt idx="9">
                  <c:v>-2775.9000038757858</c:v>
                </c:pt>
                <c:pt idx="10">
                  <c:v>-3472.6365890642683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F3C8-4243-BF5B-200471A2688F}"/>
            </c:ext>
          </c:extLst>
        </c:ser>
        <c:ser>
          <c:idx val="124"/>
          <c:order val="1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RESULTS'!$B$127:$L$127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10513.327979640759</c:v>
                </c:pt>
                <c:pt idx="2">
                  <c:v>12968.431859358818</c:v>
                </c:pt>
                <c:pt idx="3">
                  <c:v>15643.622281707732</c:v>
                </c:pt>
                <c:pt idx="4">
                  <c:v>14711.542024782659</c:v>
                </c:pt>
                <c:pt idx="5">
                  <c:v>8387.6789929303086</c:v>
                </c:pt>
                <c:pt idx="6">
                  <c:v>17325.466936308854</c:v>
                </c:pt>
                <c:pt idx="7">
                  <c:v>19778.548320698217</c:v>
                </c:pt>
                <c:pt idx="8">
                  <c:v>22377.494909817531</c:v>
                </c:pt>
                <c:pt idx="9">
                  <c:v>26956.161756324567</c:v>
                </c:pt>
                <c:pt idx="10">
                  <c:v>38304.563706158842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F3C8-4243-BF5B-200471A2688F}"/>
            </c:ext>
          </c:extLst>
        </c:ser>
        <c:ser>
          <c:idx val="125"/>
          <c:order val="1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RESULTS'!$B$128:$L$128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5708.9425774149713</c:v>
                </c:pt>
                <c:pt idx="2">
                  <c:v>7159.6349708795769</c:v>
                </c:pt>
                <c:pt idx="3">
                  <c:v>6677.2309896883289</c:v>
                </c:pt>
                <c:pt idx="4">
                  <c:v>8328.2987777382477</c:v>
                </c:pt>
                <c:pt idx="5">
                  <c:v>6882.9450143446429</c:v>
                </c:pt>
                <c:pt idx="6">
                  <c:v>6167.4134404832366</c:v>
                </c:pt>
                <c:pt idx="7">
                  <c:v>15561.138855190642</c:v>
                </c:pt>
                <c:pt idx="8">
                  <c:v>24638.343825341475</c:v>
                </c:pt>
                <c:pt idx="9">
                  <c:v>26627.879575001203</c:v>
                </c:pt>
                <c:pt idx="10">
                  <c:v>21458.33889832694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F3C8-4243-BF5B-200471A2688F}"/>
            </c:ext>
          </c:extLst>
        </c:ser>
        <c:ser>
          <c:idx val="126"/>
          <c:order val="1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RESULTS'!$B$129:$L$129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6000.8511006906811</c:v>
                </c:pt>
                <c:pt idx="2">
                  <c:v>10794.167258952328</c:v>
                </c:pt>
                <c:pt idx="3">
                  <c:v>12694.434138696615</c:v>
                </c:pt>
                <c:pt idx="4">
                  <c:v>6188.5062099921106</c:v>
                </c:pt>
                <c:pt idx="5">
                  <c:v>17180.088291652082</c:v>
                </c:pt>
                <c:pt idx="6">
                  <c:v>23000.131494725054</c:v>
                </c:pt>
                <c:pt idx="7">
                  <c:v>23066.150217563951</c:v>
                </c:pt>
                <c:pt idx="8">
                  <c:v>21393.161657123921</c:v>
                </c:pt>
                <c:pt idx="9">
                  <c:v>26333.634757259239</c:v>
                </c:pt>
                <c:pt idx="10">
                  <c:v>38231.010202646365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F3C8-4243-BF5B-200471A2688F}"/>
            </c:ext>
          </c:extLst>
        </c:ser>
        <c:ser>
          <c:idx val="127"/>
          <c:order val="1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RESULTS'!$B$130:$L$130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5563.0911944957443</c:v>
                </c:pt>
                <c:pt idx="2">
                  <c:v>6971.7569942582813</c:v>
                </c:pt>
                <c:pt idx="3">
                  <c:v>9678.8496285117417</c:v>
                </c:pt>
                <c:pt idx="4">
                  <c:v>11866.034383040545</c:v>
                </c:pt>
                <c:pt idx="5">
                  <c:v>19012.737492701428</c:v>
                </c:pt>
                <c:pt idx="6">
                  <c:v>12601.327672556592</c:v>
                </c:pt>
                <c:pt idx="7">
                  <c:v>14179.884788470594</c:v>
                </c:pt>
                <c:pt idx="8">
                  <c:v>17408.860076005989</c:v>
                </c:pt>
                <c:pt idx="9">
                  <c:v>21664.712924500775</c:v>
                </c:pt>
                <c:pt idx="10">
                  <c:v>17641.541604191316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F3C8-4243-BF5B-200471A2688F}"/>
            </c:ext>
          </c:extLst>
        </c:ser>
        <c:ser>
          <c:idx val="128"/>
          <c:order val="1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RESULTS'!$B$131:$L$131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2283.2385253860093</c:v>
                </c:pt>
                <c:pt idx="2">
                  <c:v>5890.677324368582</c:v>
                </c:pt>
                <c:pt idx="3">
                  <c:v>5364.9671119913201</c:v>
                </c:pt>
                <c:pt idx="4">
                  <c:v>5587.5657240065957</c:v>
                </c:pt>
                <c:pt idx="5">
                  <c:v>7042.0729534026486</c:v>
                </c:pt>
                <c:pt idx="6">
                  <c:v>2261.6660425434402</c:v>
                </c:pt>
                <c:pt idx="7">
                  <c:v>1198.1004604219324</c:v>
                </c:pt>
                <c:pt idx="8">
                  <c:v>4515.0826509138369</c:v>
                </c:pt>
                <c:pt idx="9">
                  <c:v>3999.8019723131529</c:v>
                </c:pt>
                <c:pt idx="10">
                  <c:v>1564.2044468683362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F3C8-4243-BF5B-200471A2688F}"/>
            </c:ext>
          </c:extLst>
        </c:ser>
        <c:ser>
          <c:idx val="129"/>
          <c:order val="1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RESULTS'!$B$132:$L$132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3761.7302999012754</c:v>
                </c:pt>
                <c:pt idx="2">
                  <c:v>6107.2326615375532</c:v>
                </c:pt>
                <c:pt idx="3">
                  <c:v>3423.7765239790579</c:v>
                </c:pt>
                <c:pt idx="4">
                  <c:v>1849.0060477966808</c:v>
                </c:pt>
                <c:pt idx="5">
                  <c:v>3423.0251727309133</c:v>
                </c:pt>
                <c:pt idx="6">
                  <c:v>5921.8753500149251</c:v>
                </c:pt>
                <c:pt idx="7">
                  <c:v>16374.228487005927</c:v>
                </c:pt>
                <c:pt idx="8">
                  <c:v>35067.702830088696</c:v>
                </c:pt>
                <c:pt idx="9">
                  <c:v>26151.539442581408</c:v>
                </c:pt>
                <c:pt idx="10">
                  <c:v>23837.552310385716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F3C8-4243-BF5B-200471A2688F}"/>
            </c:ext>
          </c:extLst>
        </c:ser>
        <c:ser>
          <c:idx val="130"/>
          <c:order val="1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RESULTS'!$B$133:$L$133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8822.7919998458674</c:v>
                </c:pt>
                <c:pt idx="2">
                  <c:v>17664.812438550343</c:v>
                </c:pt>
                <c:pt idx="3">
                  <c:v>16737.854159418504</c:v>
                </c:pt>
                <c:pt idx="4">
                  <c:v>15515.372095097788</c:v>
                </c:pt>
                <c:pt idx="5">
                  <c:v>17214.157468637077</c:v>
                </c:pt>
                <c:pt idx="6">
                  <c:v>10931.353465132141</c:v>
                </c:pt>
                <c:pt idx="7">
                  <c:v>17774.481556285311</c:v>
                </c:pt>
                <c:pt idx="8">
                  <c:v>24775.459863414155</c:v>
                </c:pt>
                <c:pt idx="9">
                  <c:v>29717.730430726508</c:v>
                </c:pt>
                <c:pt idx="10">
                  <c:v>27914.867296863467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F3C8-4243-BF5B-200471A2688F}"/>
            </c:ext>
          </c:extLst>
        </c:ser>
        <c:ser>
          <c:idx val="131"/>
          <c:order val="1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RESULTS'!$B$134:$L$134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9798.7815901681915</c:v>
                </c:pt>
                <c:pt idx="2">
                  <c:v>8957.2219875638093</c:v>
                </c:pt>
                <c:pt idx="3">
                  <c:v>12181.367925679773</c:v>
                </c:pt>
                <c:pt idx="4">
                  <c:v>24027.363583682396</c:v>
                </c:pt>
                <c:pt idx="5">
                  <c:v>22499.341270729179</c:v>
                </c:pt>
                <c:pt idx="6">
                  <c:v>26777.725041149613</c:v>
                </c:pt>
                <c:pt idx="7">
                  <c:v>39631.406018379748</c:v>
                </c:pt>
                <c:pt idx="8">
                  <c:v>68240.388483954623</c:v>
                </c:pt>
                <c:pt idx="9">
                  <c:v>78148.958490515637</c:v>
                </c:pt>
                <c:pt idx="10">
                  <c:v>102785.12598572008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F3C8-4243-BF5B-200471A2688F}"/>
            </c:ext>
          </c:extLst>
        </c:ser>
        <c:ser>
          <c:idx val="132"/>
          <c:order val="1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RESULTS'!$B$135:$L$135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5184.3389183841355</c:v>
                </c:pt>
                <c:pt idx="2">
                  <c:v>5075.5449535483585</c:v>
                </c:pt>
                <c:pt idx="3">
                  <c:v>8180.8217536070915</c:v>
                </c:pt>
                <c:pt idx="4">
                  <c:v>6139.4016325462053</c:v>
                </c:pt>
                <c:pt idx="5">
                  <c:v>6391.7568107591705</c:v>
                </c:pt>
                <c:pt idx="6">
                  <c:v>2413.8704857219236</c:v>
                </c:pt>
                <c:pt idx="7">
                  <c:v>2576.6837697970059</c:v>
                </c:pt>
                <c:pt idx="8">
                  <c:v>3757.5857355261596</c:v>
                </c:pt>
                <c:pt idx="9">
                  <c:v>4293.7081069559608</c:v>
                </c:pt>
                <c:pt idx="10">
                  <c:v>2647.1001752319662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F3C8-4243-BF5B-200471A2688F}"/>
            </c:ext>
          </c:extLst>
        </c:ser>
        <c:ser>
          <c:idx val="133"/>
          <c:order val="1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RESULTS'!$B$136:$L$136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2541.8841513107609</c:v>
                </c:pt>
                <c:pt idx="2">
                  <c:v>8353.5862565330281</c:v>
                </c:pt>
                <c:pt idx="3">
                  <c:v>9138.2159087486161</c:v>
                </c:pt>
                <c:pt idx="4">
                  <c:v>7480.1489330558543</c:v>
                </c:pt>
                <c:pt idx="5">
                  <c:v>14604.154606777389</c:v>
                </c:pt>
                <c:pt idx="6">
                  <c:v>14215.740848519843</c:v>
                </c:pt>
                <c:pt idx="7">
                  <c:v>20208.524343315767</c:v>
                </c:pt>
                <c:pt idx="8">
                  <c:v>19070.152497362593</c:v>
                </c:pt>
                <c:pt idx="9">
                  <c:v>21428.009046923024</c:v>
                </c:pt>
                <c:pt idx="10">
                  <c:v>32167.937764728456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F3C8-4243-BF5B-200471A2688F}"/>
            </c:ext>
          </c:extLst>
        </c:ser>
        <c:ser>
          <c:idx val="134"/>
          <c:order val="1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RESULTS'!$B$137:$L$137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9380.8252134602371</c:v>
                </c:pt>
                <c:pt idx="2">
                  <c:v>14091.500626059336</c:v>
                </c:pt>
                <c:pt idx="3">
                  <c:v>17317.526716410117</c:v>
                </c:pt>
                <c:pt idx="4">
                  <c:v>24573.031976721875</c:v>
                </c:pt>
                <c:pt idx="5">
                  <c:v>32985.706200092427</c:v>
                </c:pt>
                <c:pt idx="6">
                  <c:v>31826.01434237379</c:v>
                </c:pt>
                <c:pt idx="7">
                  <c:v>28536.874214852673</c:v>
                </c:pt>
                <c:pt idx="8">
                  <c:v>37141.543128558755</c:v>
                </c:pt>
                <c:pt idx="9">
                  <c:v>62484.893043719945</c:v>
                </c:pt>
                <c:pt idx="10">
                  <c:v>77161.587892943091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F3C8-4243-BF5B-200471A2688F}"/>
            </c:ext>
          </c:extLst>
        </c:ser>
        <c:ser>
          <c:idx val="135"/>
          <c:order val="1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RESULTS'!$B$138:$L$138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9295.2468783860149</c:v>
                </c:pt>
                <c:pt idx="2">
                  <c:v>10769.82980260924</c:v>
                </c:pt>
                <c:pt idx="3">
                  <c:v>6434.5358907944446</c:v>
                </c:pt>
                <c:pt idx="4">
                  <c:v>11478.455023024986</c:v>
                </c:pt>
                <c:pt idx="5">
                  <c:v>4904.5289679886137</c:v>
                </c:pt>
                <c:pt idx="6">
                  <c:v>12244.942662860518</c:v>
                </c:pt>
                <c:pt idx="7">
                  <c:v>17498.669896782798</c:v>
                </c:pt>
                <c:pt idx="8">
                  <c:v>22119.047610557081</c:v>
                </c:pt>
                <c:pt idx="9">
                  <c:v>26720.066844269852</c:v>
                </c:pt>
                <c:pt idx="10">
                  <c:v>41407.928352834235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F3C8-4243-BF5B-200471A2688F}"/>
            </c:ext>
          </c:extLst>
        </c:ser>
        <c:ser>
          <c:idx val="136"/>
          <c:order val="1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RESULTS'!$B$139:$L$139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4115.8844155518818</c:v>
                </c:pt>
                <c:pt idx="2">
                  <c:v>5321.2042477859432</c:v>
                </c:pt>
                <c:pt idx="3">
                  <c:v>12071.688554246473</c:v>
                </c:pt>
                <c:pt idx="4">
                  <c:v>21659.436879079309</c:v>
                </c:pt>
                <c:pt idx="5">
                  <c:v>19497.941073102131</c:v>
                </c:pt>
                <c:pt idx="6">
                  <c:v>32225.987449334963</c:v>
                </c:pt>
                <c:pt idx="7">
                  <c:v>46011.287096831526</c:v>
                </c:pt>
                <c:pt idx="8">
                  <c:v>44557.342497978323</c:v>
                </c:pt>
                <c:pt idx="9">
                  <c:v>29338.632067256585</c:v>
                </c:pt>
                <c:pt idx="10">
                  <c:v>27853.76298983036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F3C8-4243-BF5B-200471A2688F}"/>
            </c:ext>
          </c:extLst>
        </c:ser>
        <c:ser>
          <c:idx val="137"/>
          <c:order val="1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RESULTS'!$B$140:$L$140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10871.001526247339</c:v>
                </c:pt>
                <c:pt idx="2">
                  <c:v>12700.889450736722</c:v>
                </c:pt>
                <c:pt idx="3">
                  <c:v>24409.395100387956</c:v>
                </c:pt>
                <c:pt idx="4">
                  <c:v>23441.356628392525</c:v>
                </c:pt>
                <c:pt idx="5">
                  <c:v>25014.452863632236</c:v>
                </c:pt>
                <c:pt idx="6">
                  <c:v>41647.553516919412</c:v>
                </c:pt>
                <c:pt idx="7">
                  <c:v>68371.617840661042</c:v>
                </c:pt>
                <c:pt idx="8">
                  <c:v>90219.423256399939</c:v>
                </c:pt>
                <c:pt idx="9">
                  <c:v>139575.2043229063</c:v>
                </c:pt>
                <c:pt idx="10">
                  <c:v>240222.60215789711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F3C8-4243-BF5B-200471A2688F}"/>
            </c:ext>
          </c:extLst>
        </c:ser>
        <c:ser>
          <c:idx val="138"/>
          <c:order val="1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RESULTS'!$B$141:$L$141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5919.166271998025</c:v>
                </c:pt>
                <c:pt idx="2">
                  <c:v>8993.2835737795085</c:v>
                </c:pt>
                <c:pt idx="3">
                  <c:v>16159.222104239107</c:v>
                </c:pt>
                <c:pt idx="4">
                  <c:v>18900.146249598456</c:v>
                </c:pt>
                <c:pt idx="5">
                  <c:v>24406.049093045476</c:v>
                </c:pt>
                <c:pt idx="6">
                  <c:v>40436.247229981607</c:v>
                </c:pt>
                <c:pt idx="7">
                  <c:v>37842.138404627185</c:v>
                </c:pt>
                <c:pt idx="8">
                  <c:v>57372.144587467665</c:v>
                </c:pt>
                <c:pt idx="9">
                  <c:v>93704.709991657481</c:v>
                </c:pt>
                <c:pt idx="10">
                  <c:v>128504.62033678379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F3C8-4243-BF5B-200471A2688F}"/>
            </c:ext>
          </c:extLst>
        </c:ser>
        <c:ser>
          <c:idx val="139"/>
          <c:order val="1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RESULTS'!$B$142:$L$142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7204.0877983593382</c:v>
                </c:pt>
                <c:pt idx="2">
                  <c:v>12194.791901320048</c:v>
                </c:pt>
                <c:pt idx="3">
                  <c:v>13532.78833510078</c:v>
                </c:pt>
                <c:pt idx="4">
                  <c:v>34055.553337238111</c:v>
                </c:pt>
                <c:pt idx="5">
                  <c:v>48637.174496128166</c:v>
                </c:pt>
                <c:pt idx="6">
                  <c:v>38470.24683299919</c:v>
                </c:pt>
                <c:pt idx="7">
                  <c:v>50914.444976492283</c:v>
                </c:pt>
                <c:pt idx="8">
                  <c:v>78774.600831040065</c:v>
                </c:pt>
                <c:pt idx="9">
                  <c:v>63249.974754209325</c:v>
                </c:pt>
                <c:pt idx="10">
                  <c:v>62081.692083518559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F3C8-4243-BF5B-200471A2688F}"/>
            </c:ext>
          </c:extLst>
        </c:ser>
        <c:ser>
          <c:idx val="140"/>
          <c:order val="1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RESULTS'!$B$143:$L$143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5922.6992301947466</c:v>
                </c:pt>
                <c:pt idx="2">
                  <c:v>10113.925453768572</c:v>
                </c:pt>
                <c:pt idx="3">
                  <c:v>11091.351330803653</c:v>
                </c:pt>
                <c:pt idx="4">
                  <c:v>9821.0498647736513</c:v>
                </c:pt>
                <c:pt idx="5">
                  <c:v>9315.4591500833012</c:v>
                </c:pt>
                <c:pt idx="6">
                  <c:v>10241.507225631341</c:v>
                </c:pt>
                <c:pt idx="7">
                  <c:v>5495.3720187243744</c:v>
                </c:pt>
                <c:pt idx="8">
                  <c:v>5446.723906430414</c:v>
                </c:pt>
                <c:pt idx="9">
                  <c:v>7250.5707705771692</c:v>
                </c:pt>
                <c:pt idx="10">
                  <c:v>5407.4162019592986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F3C8-4243-BF5B-200471A2688F}"/>
            </c:ext>
          </c:extLst>
        </c:ser>
        <c:ser>
          <c:idx val="141"/>
          <c:order val="1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RESULTS'!$B$144:$L$144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8835.904568423688</c:v>
                </c:pt>
                <c:pt idx="2">
                  <c:v>7224.5507340868571</c:v>
                </c:pt>
                <c:pt idx="3">
                  <c:v>10838.383360414016</c:v>
                </c:pt>
                <c:pt idx="4">
                  <c:v>17437.66165338127</c:v>
                </c:pt>
                <c:pt idx="5">
                  <c:v>12725.238572894395</c:v>
                </c:pt>
                <c:pt idx="6">
                  <c:v>11404.693454274566</c:v>
                </c:pt>
                <c:pt idx="7">
                  <c:v>22630.050131585569</c:v>
                </c:pt>
                <c:pt idx="8">
                  <c:v>28341.677824830149</c:v>
                </c:pt>
                <c:pt idx="9">
                  <c:v>45225.860741385273</c:v>
                </c:pt>
                <c:pt idx="10">
                  <c:v>36294.43309196199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F3C8-4243-BF5B-200471A2688F}"/>
            </c:ext>
          </c:extLst>
        </c:ser>
        <c:ser>
          <c:idx val="142"/>
          <c:order val="1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RESULTS'!$B$145:$L$145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4329.2736616409311</c:v>
                </c:pt>
                <c:pt idx="2">
                  <c:v>5545.4349472203685</c:v>
                </c:pt>
                <c:pt idx="3">
                  <c:v>415.4676687954634</c:v>
                </c:pt>
                <c:pt idx="4">
                  <c:v>1961.283424900771</c:v>
                </c:pt>
                <c:pt idx="5">
                  <c:v>5128.3817866025565</c:v>
                </c:pt>
                <c:pt idx="6">
                  <c:v>4939.4539026809107</c:v>
                </c:pt>
                <c:pt idx="7">
                  <c:v>445.39894932003517</c:v>
                </c:pt>
                <c:pt idx="8">
                  <c:v>-386.61319260066648</c:v>
                </c:pt>
                <c:pt idx="9">
                  <c:v>-1360.0445282080705</c:v>
                </c:pt>
                <c:pt idx="10">
                  <c:v>-2879.571486048304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F3C8-4243-BF5B-200471A2688F}"/>
            </c:ext>
          </c:extLst>
        </c:ser>
        <c:ser>
          <c:idx val="143"/>
          <c:order val="14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RESULTS'!$B$146:$L$146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5374.2576831545994</c:v>
                </c:pt>
                <c:pt idx="2">
                  <c:v>2904.6960991771266</c:v>
                </c:pt>
                <c:pt idx="3">
                  <c:v>4983.7526880927599</c:v>
                </c:pt>
                <c:pt idx="4">
                  <c:v>11044.344534764468</c:v>
                </c:pt>
                <c:pt idx="5">
                  <c:v>13815.005415757609</c:v>
                </c:pt>
                <c:pt idx="6">
                  <c:v>12297.615318253567</c:v>
                </c:pt>
                <c:pt idx="7">
                  <c:v>15910.275452502134</c:v>
                </c:pt>
                <c:pt idx="8">
                  <c:v>14849.325293824546</c:v>
                </c:pt>
                <c:pt idx="9">
                  <c:v>17979.915910107946</c:v>
                </c:pt>
                <c:pt idx="10">
                  <c:v>24202.388993737681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F3C8-4243-BF5B-200471A2688F}"/>
            </c:ext>
          </c:extLst>
        </c:ser>
        <c:ser>
          <c:idx val="144"/>
          <c:order val="14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RESULTS'!$B$147:$L$147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5848.6084037517212</c:v>
                </c:pt>
                <c:pt idx="2">
                  <c:v>8280.1400392793767</c:v>
                </c:pt>
                <c:pt idx="3">
                  <c:v>11951.183235348693</c:v>
                </c:pt>
                <c:pt idx="4">
                  <c:v>9983.029240365493</c:v>
                </c:pt>
                <c:pt idx="5">
                  <c:v>7177.4770637991187</c:v>
                </c:pt>
                <c:pt idx="6">
                  <c:v>4268.4020542068411</c:v>
                </c:pt>
                <c:pt idx="7">
                  <c:v>5239.7626325959991</c:v>
                </c:pt>
                <c:pt idx="8">
                  <c:v>5463.1821647765482</c:v>
                </c:pt>
                <c:pt idx="9">
                  <c:v>3696.1423314259991</c:v>
                </c:pt>
                <c:pt idx="10">
                  <c:v>8615.850306465778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F3C8-4243-BF5B-200471A2688F}"/>
            </c:ext>
          </c:extLst>
        </c:ser>
        <c:ser>
          <c:idx val="145"/>
          <c:order val="14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RESULTS'!$B$148:$L$148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6243.3229530082463</c:v>
                </c:pt>
                <c:pt idx="2">
                  <c:v>12916.838028989601</c:v>
                </c:pt>
                <c:pt idx="3">
                  <c:v>12825.113687197161</c:v>
                </c:pt>
                <c:pt idx="4">
                  <c:v>5758.3839157854472</c:v>
                </c:pt>
                <c:pt idx="5">
                  <c:v>7934.1186087698861</c:v>
                </c:pt>
                <c:pt idx="6">
                  <c:v>11757.139571216769</c:v>
                </c:pt>
                <c:pt idx="7">
                  <c:v>12929.155784174476</c:v>
                </c:pt>
                <c:pt idx="8">
                  <c:v>22024.146655987137</c:v>
                </c:pt>
                <c:pt idx="9">
                  <c:v>29419.632695932502</c:v>
                </c:pt>
                <c:pt idx="10">
                  <c:v>35753.240040404409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F3C8-4243-BF5B-200471A2688F}"/>
            </c:ext>
          </c:extLst>
        </c:ser>
        <c:ser>
          <c:idx val="146"/>
          <c:order val="14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RESULTS'!$B$149:$L$149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4876.4271171114851</c:v>
                </c:pt>
                <c:pt idx="2">
                  <c:v>4249.2506058671952</c:v>
                </c:pt>
                <c:pt idx="3">
                  <c:v>6995.0106961531528</c:v>
                </c:pt>
                <c:pt idx="4">
                  <c:v>8967.4099613367143</c:v>
                </c:pt>
                <c:pt idx="5">
                  <c:v>14315.693766898068</c:v>
                </c:pt>
                <c:pt idx="6">
                  <c:v>21792.338443095447</c:v>
                </c:pt>
                <c:pt idx="7">
                  <c:v>15313.339392748399</c:v>
                </c:pt>
                <c:pt idx="8">
                  <c:v>16692.5246584704</c:v>
                </c:pt>
                <c:pt idx="9">
                  <c:v>22828.521918153925</c:v>
                </c:pt>
                <c:pt idx="10">
                  <c:v>27845.658132508994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F3C8-4243-BF5B-200471A2688F}"/>
            </c:ext>
          </c:extLst>
        </c:ser>
        <c:ser>
          <c:idx val="147"/>
          <c:order val="14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RESULTS'!$B$150:$L$150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4564.3192400846674</c:v>
                </c:pt>
                <c:pt idx="2">
                  <c:v>9351.9821266326962</c:v>
                </c:pt>
                <c:pt idx="3">
                  <c:v>6989.097713058618</c:v>
                </c:pt>
                <c:pt idx="4">
                  <c:v>7353.4457576530331</c:v>
                </c:pt>
                <c:pt idx="5">
                  <c:v>15441.731065664419</c:v>
                </c:pt>
                <c:pt idx="6">
                  <c:v>22633.679768571703</c:v>
                </c:pt>
                <c:pt idx="7">
                  <c:v>22011.988760072931</c:v>
                </c:pt>
                <c:pt idx="8">
                  <c:v>19209.012255518086</c:v>
                </c:pt>
                <c:pt idx="9">
                  <c:v>25949.152881308059</c:v>
                </c:pt>
                <c:pt idx="10">
                  <c:v>44136.17464483506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F3C8-4243-BF5B-200471A2688F}"/>
            </c:ext>
          </c:extLst>
        </c:ser>
        <c:ser>
          <c:idx val="148"/>
          <c:order val="14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RESULTS'!$B$151:$L$151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4642.5020466997667</c:v>
                </c:pt>
                <c:pt idx="2">
                  <c:v>3928.3986577557043</c:v>
                </c:pt>
                <c:pt idx="3">
                  <c:v>11077.457441862989</c:v>
                </c:pt>
                <c:pt idx="4">
                  <c:v>13651.972282495837</c:v>
                </c:pt>
                <c:pt idx="5">
                  <c:v>15691.086440479641</c:v>
                </c:pt>
                <c:pt idx="6">
                  <c:v>18019.514538376709</c:v>
                </c:pt>
                <c:pt idx="7">
                  <c:v>24477.50042930937</c:v>
                </c:pt>
                <c:pt idx="8">
                  <c:v>22027.635295578937</c:v>
                </c:pt>
                <c:pt idx="9">
                  <c:v>32348.713075192027</c:v>
                </c:pt>
                <c:pt idx="10">
                  <c:v>39508.885080453736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F3C8-4243-BF5B-200471A2688F}"/>
            </c:ext>
          </c:extLst>
        </c:ser>
        <c:ser>
          <c:idx val="149"/>
          <c:order val="14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RESULTS'!$B$152:$L$152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6274.9630270336183</c:v>
                </c:pt>
                <c:pt idx="2">
                  <c:v>6835.6626264033312</c:v>
                </c:pt>
                <c:pt idx="3">
                  <c:v>10670.712562154677</c:v>
                </c:pt>
                <c:pt idx="4">
                  <c:v>17816.513933355804</c:v>
                </c:pt>
                <c:pt idx="5">
                  <c:v>19612.29356246852</c:v>
                </c:pt>
                <c:pt idx="6">
                  <c:v>15705.890710382646</c:v>
                </c:pt>
                <c:pt idx="7">
                  <c:v>11246.932764656696</c:v>
                </c:pt>
                <c:pt idx="8">
                  <c:v>18630.413268843149</c:v>
                </c:pt>
                <c:pt idx="9">
                  <c:v>31435.017823654125</c:v>
                </c:pt>
                <c:pt idx="10">
                  <c:v>30261.067850114443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F3C8-4243-BF5B-200471A2688F}"/>
            </c:ext>
          </c:extLst>
        </c:ser>
        <c:ser>
          <c:idx val="150"/>
          <c:order val="15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RESULTS'!$B$153:$L$153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2074.854814459527</c:v>
                </c:pt>
                <c:pt idx="2">
                  <c:v>3060.4930627016338</c:v>
                </c:pt>
                <c:pt idx="3">
                  <c:v>5395.4028455551561</c:v>
                </c:pt>
                <c:pt idx="4">
                  <c:v>4491.5060399246468</c:v>
                </c:pt>
                <c:pt idx="5">
                  <c:v>2470.5241940513561</c:v>
                </c:pt>
                <c:pt idx="6">
                  <c:v>9116.4512364012662</c:v>
                </c:pt>
                <c:pt idx="7">
                  <c:v>14251.23756536092</c:v>
                </c:pt>
                <c:pt idx="8">
                  <c:v>22814.669298888231</c:v>
                </c:pt>
                <c:pt idx="9">
                  <c:v>38456.061543645948</c:v>
                </c:pt>
                <c:pt idx="10">
                  <c:v>53085.614058973762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F3C8-4243-BF5B-200471A2688F}"/>
            </c:ext>
          </c:extLst>
        </c:ser>
        <c:ser>
          <c:idx val="151"/>
          <c:order val="15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RESULTS'!$B$154:$L$154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10328.358378363529</c:v>
                </c:pt>
                <c:pt idx="2">
                  <c:v>10353.005385680537</c:v>
                </c:pt>
                <c:pt idx="3">
                  <c:v>15215.718852591599</c:v>
                </c:pt>
                <c:pt idx="4">
                  <c:v>19268.815403287852</c:v>
                </c:pt>
                <c:pt idx="5">
                  <c:v>27810.164324646994</c:v>
                </c:pt>
                <c:pt idx="6">
                  <c:v>37244.41319891133</c:v>
                </c:pt>
                <c:pt idx="7">
                  <c:v>45263.326030429038</c:v>
                </c:pt>
                <c:pt idx="8">
                  <c:v>38386.159067958972</c:v>
                </c:pt>
                <c:pt idx="9">
                  <c:v>39349.414643497694</c:v>
                </c:pt>
                <c:pt idx="10">
                  <c:v>58284.079659049894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F3C8-4243-BF5B-200471A2688F}"/>
            </c:ext>
          </c:extLst>
        </c:ser>
        <c:ser>
          <c:idx val="152"/>
          <c:order val="15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RESULTS'!$B$155:$L$155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6495.4319670811783</c:v>
                </c:pt>
                <c:pt idx="2">
                  <c:v>4554.2731321197498</c:v>
                </c:pt>
                <c:pt idx="3">
                  <c:v>4310.2423632047448</c:v>
                </c:pt>
                <c:pt idx="4">
                  <c:v>3440.8462651149894</c:v>
                </c:pt>
                <c:pt idx="5">
                  <c:v>7542.3487919738291</c:v>
                </c:pt>
                <c:pt idx="6">
                  <c:v>9688.6110357265989</c:v>
                </c:pt>
                <c:pt idx="7">
                  <c:v>8568.2557540445778</c:v>
                </c:pt>
                <c:pt idx="8">
                  <c:v>8524.0083685998761</c:v>
                </c:pt>
                <c:pt idx="9">
                  <c:v>6413.4029881360984</c:v>
                </c:pt>
                <c:pt idx="10">
                  <c:v>3230.3417273148279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F3C8-4243-BF5B-200471A2688F}"/>
            </c:ext>
          </c:extLst>
        </c:ser>
        <c:ser>
          <c:idx val="153"/>
          <c:order val="15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RESULTS'!$B$156:$L$156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5709.0259585757431</c:v>
                </c:pt>
                <c:pt idx="2">
                  <c:v>12020.300540605043</c:v>
                </c:pt>
                <c:pt idx="3">
                  <c:v>12334.022453467958</c:v>
                </c:pt>
                <c:pt idx="4">
                  <c:v>14162.585870809271</c:v>
                </c:pt>
                <c:pt idx="5">
                  <c:v>10765.405447817979</c:v>
                </c:pt>
                <c:pt idx="6">
                  <c:v>6875.0785305506397</c:v>
                </c:pt>
                <c:pt idx="7">
                  <c:v>7718.2249058296784</c:v>
                </c:pt>
                <c:pt idx="8">
                  <c:v>4946.6378098383393</c:v>
                </c:pt>
                <c:pt idx="9">
                  <c:v>4459.5432439435226</c:v>
                </c:pt>
                <c:pt idx="10">
                  <c:v>8678.6561489610231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F3C8-4243-BF5B-200471A2688F}"/>
            </c:ext>
          </c:extLst>
        </c:ser>
        <c:ser>
          <c:idx val="154"/>
          <c:order val="15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RESULTS'!$B$157:$L$157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12122.805766750789</c:v>
                </c:pt>
                <c:pt idx="2">
                  <c:v>10004.198673965357</c:v>
                </c:pt>
                <c:pt idx="3">
                  <c:v>1511.6941910836185</c:v>
                </c:pt>
                <c:pt idx="4">
                  <c:v>5227.6644354552154</c:v>
                </c:pt>
                <c:pt idx="5">
                  <c:v>8319.4675373752252</c:v>
                </c:pt>
                <c:pt idx="6">
                  <c:v>19013.77142571205</c:v>
                </c:pt>
                <c:pt idx="7">
                  <c:v>29132.078159145589</c:v>
                </c:pt>
                <c:pt idx="8">
                  <c:v>38428.725595961463</c:v>
                </c:pt>
                <c:pt idx="9">
                  <c:v>32589.076147397427</c:v>
                </c:pt>
                <c:pt idx="10">
                  <c:v>42645.384901195896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F3C8-4243-BF5B-200471A2688F}"/>
            </c:ext>
          </c:extLst>
        </c:ser>
        <c:ser>
          <c:idx val="155"/>
          <c:order val="15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RESULTS'!$B$158:$L$158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3799.5161285546819</c:v>
                </c:pt>
                <c:pt idx="2">
                  <c:v>5293.4115635528124</c:v>
                </c:pt>
                <c:pt idx="3">
                  <c:v>6640.0539499788938</c:v>
                </c:pt>
                <c:pt idx="4">
                  <c:v>8241.3995552835513</c:v>
                </c:pt>
                <c:pt idx="5">
                  <c:v>7937.3272218322818</c:v>
                </c:pt>
                <c:pt idx="6">
                  <c:v>21225.116202504254</c:v>
                </c:pt>
                <c:pt idx="7">
                  <c:v>17398.747348621058</c:v>
                </c:pt>
                <c:pt idx="8">
                  <c:v>15053.303776911664</c:v>
                </c:pt>
                <c:pt idx="9">
                  <c:v>11447.373869892035</c:v>
                </c:pt>
                <c:pt idx="10">
                  <c:v>5449.2948557779146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F3C8-4243-BF5B-200471A2688F}"/>
            </c:ext>
          </c:extLst>
        </c:ser>
        <c:ser>
          <c:idx val="156"/>
          <c:order val="15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RESULTS'!$B$159:$L$159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2673.4395677509738</c:v>
                </c:pt>
                <c:pt idx="2">
                  <c:v>3006.1688066833894</c:v>
                </c:pt>
                <c:pt idx="3">
                  <c:v>2632.6289388157084</c:v>
                </c:pt>
                <c:pt idx="4">
                  <c:v>3662.2218370829378</c:v>
                </c:pt>
                <c:pt idx="5">
                  <c:v>1264.5067588734646</c:v>
                </c:pt>
                <c:pt idx="6">
                  <c:v>492.00353814598475</c:v>
                </c:pt>
                <c:pt idx="7">
                  <c:v>-1143.45549605015</c:v>
                </c:pt>
                <c:pt idx="8">
                  <c:v>380.9391446843747</c:v>
                </c:pt>
                <c:pt idx="9">
                  <c:v>1258.440116900375</c:v>
                </c:pt>
                <c:pt idx="10">
                  <c:v>2564.7141291132775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F3C8-4243-BF5B-200471A2688F}"/>
            </c:ext>
          </c:extLst>
        </c:ser>
        <c:ser>
          <c:idx val="157"/>
          <c:order val="15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RESULTS'!$B$160:$L$160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7424.3059609892116</c:v>
                </c:pt>
                <c:pt idx="2">
                  <c:v>7352.0407369264904</c:v>
                </c:pt>
                <c:pt idx="3">
                  <c:v>12998.839722065826</c:v>
                </c:pt>
                <c:pt idx="4">
                  <c:v>12825.059885603783</c:v>
                </c:pt>
                <c:pt idx="5">
                  <c:v>16863.626326081074</c:v>
                </c:pt>
                <c:pt idx="6">
                  <c:v>20956.699290736207</c:v>
                </c:pt>
                <c:pt idx="7">
                  <c:v>18981.778327799937</c:v>
                </c:pt>
                <c:pt idx="8">
                  <c:v>21257.205318814664</c:v>
                </c:pt>
                <c:pt idx="9">
                  <c:v>21013.849665813323</c:v>
                </c:pt>
                <c:pt idx="10">
                  <c:v>26683.846423605501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F3C8-4243-BF5B-200471A2688F}"/>
            </c:ext>
          </c:extLst>
        </c:ser>
        <c:ser>
          <c:idx val="158"/>
          <c:order val="15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RESULTS'!$B$161:$L$161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2300.3911990388096</c:v>
                </c:pt>
                <c:pt idx="2">
                  <c:v>610.81238289914927</c:v>
                </c:pt>
                <c:pt idx="3">
                  <c:v>4343.6763605004417</c:v>
                </c:pt>
                <c:pt idx="4">
                  <c:v>1086.9449549246119</c:v>
                </c:pt>
                <c:pt idx="5">
                  <c:v>1858.8851747619237</c:v>
                </c:pt>
                <c:pt idx="6">
                  <c:v>25.918493485601175</c:v>
                </c:pt>
                <c:pt idx="7">
                  <c:v>2313.2146104771564</c:v>
                </c:pt>
                <c:pt idx="8">
                  <c:v>6578.0785976145908</c:v>
                </c:pt>
                <c:pt idx="9">
                  <c:v>6248.1071635381941</c:v>
                </c:pt>
                <c:pt idx="10">
                  <c:v>11599.291720250571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F3C8-4243-BF5B-200471A2688F}"/>
            </c:ext>
          </c:extLst>
        </c:ser>
        <c:ser>
          <c:idx val="159"/>
          <c:order val="15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RESULTS'!$B$162:$L$162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5686.8286881259119</c:v>
                </c:pt>
                <c:pt idx="2">
                  <c:v>3834.4583445233311</c:v>
                </c:pt>
                <c:pt idx="3">
                  <c:v>3953.4280165897762</c:v>
                </c:pt>
                <c:pt idx="4">
                  <c:v>4633.1159076834992</c:v>
                </c:pt>
                <c:pt idx="5">
                  <c:v>4605.4071641954233</c:v>
                </c:pt>
                <c:pt idx="6">
                  <c:v>6601.1540055007317</c:v>
                </c:pt>
                <c:pt idx="7">
                  <c:v>7940.7913604858823</c:v>
                </c:pt>
                <c:pt idx="8">
                  <c:v>8795.6027710799735</c:v>
                </c:pt>
                <c:pt idx="9">
                  <c:v>8701.5929652832383</c:v>
                </c:pt>
                <c:pt idx="10">
                  <c:v>12840.057707818476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F3C8-4243-BF5B-200471A2688F}"/>
            </c:ext>
          </c:extLst>
        </c:ser>
        <c:ser>
          <c:idx val="160"/>
          <c:order val="16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RESULTS'!$B$163:$L$163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3634.1834326290236</c:v>
                </c:pt>
                <c:pt idx="2">
                  <c:v>721.61360561664605</c:v>
                </c:pt>
                <c:pt idx="3">
                  <c:v>-210.87888169138841</c:v>
                </c:pt>
                <c:pt idx="4">
                  <c:v>-586.59428684432396</c:v>
                </c:pt>
                <c:pt idx="5">
                  <c:v>-1510.5904709802576</c:v>
                </c:pt>
                <c:pt idx="6">
                  <c:v>504.63144057125191</c:v>
                </c:pt>
                <c:pt idx="7">
                  <c:v>-236.57898552513507</c:v>
                </c:pt>
                <c:pt idx="8">
                  <c:v>1288.8055851967856</c:v>
                </c:pt>
                <c:pt idx="9">
                  <c:v>2690.2679579241521</c:v>
                </c:pt>
                <c:pt idx="10">
                  <c:v>4964.6285216222095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F3C8-4243-BF5B-200471A2688F}"/>
            </c:ext>
          </c:extLst>
        </c:ser>
        <c:ser>
          <c:idx val="161"/>
          <c:order val="16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RESULTS'!$B$164:$L$164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11515.675153669858</c:v>
                </c:pt>
                <c:pt idx="2">
                  <c:v>13393.545120428189</c:v>
                </c:pt>
                <c:pt idx="3">
                  <c:v>10759.869335772455</c:v>
                </c:pt>
                <c:pt idx="4">
                  <c:v>19570.177962782509</c:v>
                </c:pt>
                <c:pt idx="5">
                  <c:v>16503.536322564763</c:v>
                </c:pt>
                <c:pt idx="6">
                  <c:v>15202.323036056179</c:v>
                </c:pt>
                <c:pt idx="7">
                  <c:v>20365.364595991883</c:v>
                </c:pt>
                <c:pt idx="8">
                  <c:v>21558.377063485103</c:v>
                </c:pt>
                <c:pt idx="9">
                  <c:v>32674.676651473819</c:v>
                </c:pt>
                <c:pt idx="10">
                  <c:v>67304.73900387311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F3C8-4243-BF5B-200471A2688F}"/>
            </c:ext>
          </c:extLst>
        </c:ser>
        <c:ser>
          <c:idx val="162"/>
          <c:order val="16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RESULTS'!$B$165:$L$165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2609.6496528579619</c:v>
                </c:pt>
                <c:pt idx="2">
                  <c:v>1823.8605039117501</c:v>
                </c:pt>
                <c:pt idx="3">
                  <c:v>892.46941953141959</c:v>
                </c:pt>
                <c:pt idx="4">
                  <c:v>3581.8132882955897</c:v>
                </c:pt>
                <c:pt idx="5">
                  <c:v>3909.8337624539872</c:v>
                </c:pt>
                <c:pt idx="6">
                  <c:v>4892.5726423861342</c:v>
                </c:pt>
                <c:pt idx="7">
                  <c:v>5312.0491051865065</c:v>
                </c:pt>
                <c:pt idx="8">
                  <c:v>9333.7611565704756</c:v>
                </c:pt>
                <c:pt idx="9">
                  <c:v>7326.4385843583586</c:v>
                </c:pt>
                <c:pt idx="10">
                  <c:v>833.48572544573108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F3C8-4243-BF5B-200471A2688F}"/>
            </c:ext>
          </c:extLst>
        </c:ser>
        <c:ser>
          <c:idx val="163"/>
          <c:order val="16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RESULTS'!$B$166:$L$166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2808.8239917149331</c:v>
                </c:pt>
                <c:pt idx="2">
                  <c:v>3138.3739494622469</c:v>
                </c:pt>
                <c:pt idx="3">
                  <c:v>3920.0906036815668</c:v>
                </c:pt>
                <c:pt idx="4">
                  <c:v>5271.7805096307802</c:v>
                </c:pt>
                <c:pt idx="5">
                  <c:v>4352.7914282547445</c:v>
                </c:pt>
                <c:pt idx="6">
                  <c:v>4917.3760193378403</c:v>
                </c:pt>
                <c:pt idx="7">
                  <c:v>4763.2959701322943</c:v>
                </c:pt>
                <c:pt idx="8">
                  <c:v>1001.2126748914379</c:v>
                </c:pt>
                <c:pt idx="9">
                  <c:v>2834.1294913812089</c:v>
                </c:pt>
                <c:pt idx="10">
                  <c:v>4652.2206417812231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F3C8-4243-BF5B-200471A2688F}"/>
            </c:ext>
          </c:extLst>
        </c:ser>
        <c:ser>
          <c:idx val="164"/>
          <c:order val="16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RESULTS'!$B$167:$L$167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3656.3716715926803</c:v>
                </c:pt>
                <c:pt idx="2">
                  <c:v>7529.1913257787783</c:v>
                </c:pt>
                <c:pt idx="3">
                  <c:v>7502.1185383466236</c:v>
                </c:pt>
                <c:pt idx="4">
                  <c:v>4004.8249578350496</c:v>
                </c:pt>
                <c:pt idx="5">
                  <c:v>4701.1319438542214</c:v>
                </c:pt>
                <c:pt idx="6">
                  <c:v>4566.9403386998893</c:v>
                </c:pt>
                <c:pt idx="7">
                  <c:v>2453.5999489716123</c:v>
                </c:pt>
                <c:pt idx="8">
                  <c:v>-1158.1053021331918</c:v>
                </c:pt>
                <c:pt idx="9">
                  <c:v>111.68357347757774</c:v>
                </c:pt>
                <c:pt idx="10">
                  <c:v>847.39409363999312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F3C8-4243-BF5B-200471A2688F}"/>
            </c:ext>
          </c:extLst>
        </c:ser>
        <c:ser>
          <c:idx val="165"/>
          <c:order val="16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RESULTS'!$B$168:$L$168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2791.1804849699038</c:v>
                </c:pt>
                <c:pt idx="2">
                  <c:v>6672.5821513633819</c:v>
                </c:pt>
                <c:pt idx="3">
                  <c:v>8559.1853950628793</c:v>
                </c:pt>
                <c:pt idx="4">
                  <c:v>7736.6821528399087</c:v>
                </c:pt>
                <c:pt idx="5">
                  <c:v>4603.9008126617373</c:v>
                </c:pt>
                <c:pt idx="6">
                  <c:v>2849.676516664832</c:v>
                </c:pt>
                <c:pt idx="7">
                  <c:v>1891.7110829759731</c:v>
                </c:pt>
                <c:pt idx="8">
                  <c:v>-43.676164155283914</c:v>
                </c:pt>
                <c:pt idx="9">
                  <c:v>-162.82734151269233</c:v>
                </c:pt>
                <c:pt idx="10">
                  <c:v>1336.8759896141928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5-F3C8-4243-BF5B-200471A2688F}"/>
            </c:ext>
          </c:extLst>
        </c:ser>
        <c:ser>
          <c:idx val="166"/>
          <c:order val="16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RESULTS'!$B$169:$L$169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842.84641294792709</c:v>
                </c:pt>
                <c:pt idx="2">
                  <c:v>1229.5566953345042</c:v>
                </c:pt>
                <c:pt idx="3">
                  <c:v>0.59138357570463995</c:v>
                </c:pt>
                <c:pt idx="4">
                  <c:v>-438.56364446971747</c:v>
                </c:pt>
                <c:pt idx="5">
                  <c:v>134.6496960357872</c:v>
                </c:pt>
                <c:pt idx="6">
                  <c:v>1698.8118686088037</c:v>
                </c:pt>
                <c:pt idx="7">
                  <c:v>244.6563764213679</c:v>
                </c:pt>
                <c:pt idx="8">
                  <c:v>255.72303264249058</c:v>
                </c:pt>
                <c:pt idx="9">
                  <c:v>-231.32079417017303</c:v>
                </c:pt>
                <c:pt idx="10">
                  <c:v>1725.0961596129582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6-F3C8-4243-BF5B-200471A2688F}"/>
            </c:ext>
          </c:extLst>
        </c:ser>
        <c:ser>
          <c:idx val="167"/>
          <c:order val="16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RESULTS'!$B$170:$L$170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4268.3459405893846</c:v>
                </c:pt>
                <c:pt idx="2">
                  <c:v>2795.006989533158</c:v>
                </c:pt>
                <c:pt idx="3">
                  <c:v>3849.4876736912738</c:v>
                </c:pt>
                <c:pt idx="4">
                  <c:v>3886.5018162417437</c:v>
                </c:pt>
                <c:pt idx="5">
                  <c:v>10326.222420082373</c:v>
                </c:pt>
                <c:pt idx="6">
                  <c:v>21069.053604469071</c:v>
                </c:pt>
                <c:pt idx="7">
                  <c:v>23720.13928796272</c:v>
                </c:pt>
                <c:pt idx="8">
                  <c:v>17245.789859573404</c:v>
                </c:pt>
                <c:pt idx="9">
                  <c:v>32810.386533548757</c:v>
                </c:pt>
                <c:pt idx="10">
                  <c:v>51402.41774888138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7-F3C8-4243-BF5B-200471A2688F}"/>
            </c:ext>
          </c:extLst>
        </c:ser>
        <c:ser>
          <c:idx val="168"/>
          <c:order val="16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RESULTS'!$B$171:$L$171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4902.3894450549524</c:v>
                </c:pt>
                <c:pt idx="2">
                  <c:v>9467.5761505195096</c:v>
                </c:pt>
                <c:pt idx="3">
                  <c:v>6126.2819016949325</c:v>
                </c:pt>
                <c:pt idx="4">
                  <c:v>5812.8561671103835</c:v>
                </c:pt>
                <c:pt idx="5">
                  <c:v>6679.5817002855201</c:v>
                </c:pt>
                <c:pt idx="6">
                  <c:v>11025.667358960345</c:v>
                </c:pt>
                <c:pt idx="7">
                  <c:v>15693.221150288362</c:v>
                </c:pt>
                <c:pt idx="8">
                  <c:v>24060.567965923212</c:v>
                </c:pt>
                <c:pt idx="9">
                  <c:v>22700.48572779867</c:v>
                </c:pt>
                <c:pt idx="10">
                  <c:v>17883.50964818873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8-F3C8-4243-BF5B-200471A2688F}"/>
            </c:ext>
          </c:extLst>
        </c:ser>
        <c:ser>
          <c:idx val="169"/>
          <c:order val="16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RESULTS'!$B$172:$L$172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9100.2425902890409</c:v>
                </c:pt>
                <c:pt idx="2">
                  <c:v>7510.3601101846616</c:v>
                </c:pt>
                <c:pt idx="3">
                  <c:v>8043.3497758085614</c:v>
                </c:pt>
                <c:pt idx="4">
                  <c:v>9776.3247705267913</c:v>
                </c:pt>
                <c:pt idx="5">
                  <c:v>13891.52872839952</c:v>
                </c:pt>
                <c:pt idx="6">
                  <c:v>9187.841318797542</c:v>
                </c:pt>
                <c:pt idx="7">
                  <c:v>8185.4137237704963</c:v>
                </c:pt>
                <c:pt idx="8">
                  <c:v>12808.693633841169</c:v>
                </c:pt>
                <c:pt idx="9">
                  <c:v>14661.8508827884</c:v>
                </c:pt>
                <c:pt idx="10">
                  <c:v>25250.719626132886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9-F3C8-4243-BF5B-200471A2688F}"/>
            </c:ext>
          </c:extLst>
        </c:ser>
        <c:ser>
          <c:idx val="170"/>
          <c:order val="17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RESULTS'!$B$173:$L$173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4856.4249281984085</c:v>
                </c:pt>
                <c:pt idx="2">
                  <c:v>7066.6055069797676</c:v>
                </c:pt>
                <c:pt idx="3">
                  <c:v>10131.212099836803</c:v>
                </c:pt>
                <c:pt idx="4">
                  <c:v>9533.9860164124875</c:v>
                </c:pt>
                <c:pt idx="5">
                  <c:v>11002.044928462314</c:v>
                </c:pt>
                <c:pt idx="6">
                  <c:v>14213.453876476768</c:v>
                </c:pt>
                <c:pt idx="7">
                  <c:v>24600.410229482299</c:v>
                </c:pt>
                <c:pt idx="8">
                  <c:v>33787.299569685827</c:v>
                </c:pt>
                <c:pt idx="9">
                  <c:v>39608.658603571734</c:v>
                </c:pt>
                <c:pt idx="10">
                  <c:v>44548.888034197204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A-F3C8-4243-BF5B-200471A2688F}"/>
            </c:ext>
          </c:extLst>
        </c:ser>
        <c:ser>
          <c:idx val="171"/>
          <c:order val="17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RESULTS'!$B$174:$L$174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6810.0447639520098</c:v>
                </c:pt>
                <c:pt idx="2">
                  <c:v>14847.797509687389</c:v>
                </c:pt>
                <c:pt idx="3">
                  <c:v>22465.007545123488</c:v>
                </c:pt>
                <c:pt idx="4">
                  <c:v>16243.324583391568</c:v>
                </c:pt>
                <c:pt idx="5">
                  <c:v>33380.632787735682</c:v>
                </c:pt>
                <c:pt idx="6">
                  <c:v>38872.558365512348</c:v>
                </c:pt>
                <c:pt idx="7">
                  <c:v>58735.195965218008</c:v>
                </c:pt>
                <c:pt idx="8">
                  <c:v>58667.477338348224</c:v>
                </c:pt>
                <c:pt idx="9">
                  <c:v>37368.344476253078</c:v>
                </c:pt>
                <c:pt idx="10">
                  <c:v>43268.553807001597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F3C8-4243-BF5B-200471A2688F}"/>
            </c:ext>
          </c:extLst>
        </c:ser>
        <c:ser>
          <c:idx val="172"/>
          <c:order val="17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RESULTS'!$B$175:$L$175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4082.1165738886975</c:v>
                </c:pt>
                <c:pt idx="2">
                  <c:v>6902.944275447373</c:v>
                </c:pt>
                <c:pt idx="3">
                  <c:v>9432.4143380743772</c:v>
                </c:pt>
                <c:pt idx="4">
                  <c:v>16230.374992585395</c:v>
                </c:pt>
                <c:pt idx="5">
                  <c:v>14783.515090560239</c:v>
                </c:pt>
                <c:pt idx="6">
                  <c:v>11704.540679213535</c:v>
                </c:pt>
                <c:pt idx="7">
                  <c:v>14855.30636136905</c:v>
                </c:pt>
                <c:pt idx="8">
                  <c:v>13080.298001026036</c:v>
                </c:pt>
                <c:pt idx="9">
                  <c:v>3295.6626160109763</c:v>
                </c:pt>
                <c:pt idx="10">
                  <c:v>2822.0002399656169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C-F3C8-4243-BF5B-200471A2688F}"/>
            </c:ext>
          </c:extLst>
        </c:ser>
        <c:ser>
          <c:idx val="173"/>
          <c:order val="17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RESULTS'!$B$176:$L$176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3851.1914627916831</c:v>
                </c:pt>
                <c:pt idx="2">
                  <c:v>6267.5016682067489</c:v>
                </c:pt>
                <c:pt idx="3">
                  <c:v>4848.5179615967118</c:v>
                </c:pt>
                <c:pt idx="4">
                  <c:v>6932.657825007831</c:v>
                </c:pt>
                <c:pt idx="5">
                  <c:v>6225.6380113916221</c:v>
                </c:pt>
                <c:pt idx="6">
                  <c:v>4031.8699294146372</c:v>
                </c:pt>
                <c:pt idx="7">
                  <c:v>7121.9328290603553</c:v>
                </c:pt>
                <c:pt idx="8">
                  <c:v>8747.10077625138</c:v>
                </c:pt>
                <c:pt idx="9">
                  <c:v>11772.012603918332</c:v>
                </c:pt>
                <c:pt idx="10">
                  <c:v>10529.181598023959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D-F3C8-4243-BF5B-200471A2688F}"/>
            </c:ext>
          </c:extLst>
        </c:ser>
        <c:ser>
          <c:idx val="174"/>
          <c:order val="17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RESULTS'!$B$177:$L$177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1779.3599552306505</c:v>
                </c:pt>
                <c:pt idx="2">
                  <c:v>4731.372005779438</c:v>
                </c:pt>
                <c:pt idx="3">
                  <c:v>2132.6852142729504</c:v>
                </c:pt>
                <c:pt idx="4">
                  <c:v>1221.1166573713808</c:v>
                </c:pt>
                <c:pt idx="5">
                  <c:v>2767.1756501227719</c:v>
                </c:pt>
                <c:pt idx="6">
                  <c:v>1405.001524604465</c:v>
                </c:pt>
                <c:pt idx="7">
                  <c:v>881.11549814324553</c:v>
                </c:pt>
                <c:pt idx="8">
                  <c:v>2037.3700117842263</c:v>
                </c:pt>
                <c:pt idx="9">
                  <c:v>2092.6056680956117</c:v>
                </c:pt>
                <c:pt idx="10">
                  <c:v>356.39505751692286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E-F3C8-4243-BF5B-200471A2688F}"/>
            </c:ext>
          </c:extLst>
        </c:ser>
        <c:ser>
          <c:idx val="175"/>
          <c:order val="17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RESULTS'!$B$178:$L$178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6437.1701427411099</c:v>
                </c:pt>
                <c:pt idx="2">
                  <c:v>1266.5782693736337</c:v>
                </c:pt>
                <c:pt idx="3">
                  <c:v>2466.9009724872822</c:v>
                </c:pt>
                <c:pt idx="4">
                  <c:v>5896.0733140144421</c:v>
                </c:pt>
                <c:pt idx="5">
                  <c:v>5733.1945736069702</c:v>
                </c:pt>
                <c:pt idx="6">
                  <c:v>8966.4117875587599</c:v>
                </c:pt>
                <c:pt idx="7">
                  <c:v>6663.0484013866771</c:v>
                </c:pt>
                <c:pt idx="8">
                  <c:v>8621.0575066360943</c:v>
                </c:pt>
                <c:pt idx="9">
                  <c:v>3930.2822720960448</c:v>
                </c:pt>
                <c:pt idx="10">
                  <c:v>6966.7637841592059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F-F3C8-4243-BF5B-200471A2688F}"/>
            </c:ext>
          </c:extLst>
        </c:ser>
        <c:ser>
          <c:idx val="176"/>
          <c:order val="17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RESULTS'!$B$179:$L$179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3444.8866445716603</c:v>
                </c:pt>
                <c:pt idx="2">
                  <c:v>5386.3631309776265</c:v>
                </c:pt>
                <c:pt idx="3">
                  <c:v>1995.9052346240933</c:v>
                </c:pt>
                <c:pt idx="4">
                  <c:v>1360.4584779340375</c:v>
                </c:pt>
                <c:pt idx="5">
                  <c:v>1474.8946065548807</c:v>
                </c:pt>
                <c:pt idx="6">
                  <c:v>2213.0587214772677</c:v>
                </c:pt>
                <c:pt idx="7">
                  <c:v>3024.2359761087673</c:v>
                </c:pt>
                <c:pt idx="8">
                  <c:v>3700.4936119362701</c:v>
                </c:pt>
                <c:pt idx="9">
                  <c:v>2202.2976705263054</c:v>
                </c:pt>
                <c:pt idx="10">
                  <c:v>451.85275292414553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0-F3C8-4243-BF5B-200471A2688F}"/>
            </c:ext>
          </c:extLst>
        </c:ser>
        <c:ser>
          <c:idx val="177"/>
          <c:order val="17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RESULTS'!$B$180:$L$180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12139.090275191073</c:v>
                </c:pt>
                <c:pt idx="2">
                  <c:v>15771.84627881374</c:v>
                </c:pt>
                <c:pt idx="3">
                  <c:v>17160.243386343671</c:v>
                </c:pt>
                <c:pt idx="4">
                  <c:v>11726.780027785358</c:v>
                </c:pt>
                <c:pt idx="5">
                  <c:v>8882.7556202990454</c:v>
                </c:pt>
                <c:pt idx="6">
                  <c:v>12799.441090732584</c:v>
                </c:pt>
                <c:pt idx="7">
                  <c:v>19081.106186279419</c:v>
                </c:pt>
                <c:pt idx="8">
                  <c:v>20439.402928672051</c:v>
                </c:pt>
                <c:pt idx="9">
                  <c:v>30807.773985502339</c:v>
                </c:pt>
                <c:pt idx="10">
                  <c:v>36119.416999335212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1-F3C8-4243-BF5B-200471A2688F}"/>
            </c:ext>
          </c:extLst>
        </c:ser>
        <c:ser>
          <c:idx val="178"/>
          <c:order val="17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RESULTS'!$B$181:$L$181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5750.8861807300109</c:v>
                </c:pt>
                <c:pt idx="2">
                  <c:v>8330.1064081688819</c:v>
                </c:pt>
                <c:pt idx="3">
                  <c:v>8034.6736094819462</c:v>
                </c:pt>
                <c:pt idx="4">
                  <c:v>5458.8136036931191</c:v>
                </c:pt>
                <c:pt idx="5">
                  <c:v>7784.1230913158379</c:v>
                </c:pt>
                <c:pt idx="6">
                  <c:v>5387.7529050717148</c:v>
                </c:pt>
                <c:pt idx="7">
                  <c:v>7343.4775086544232</c:v>
                </c:pt>
                <c:pt idx="8">
                  <c:v>7646.2399020925659</c:v>
                </c:pt>
                <c:pt idx="9">
                  <c:v>10605.58889528213</c:v>
                </c:pt>
                <c:pt idx="10">
                  <c:v>16265.088276148541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2-F3C8-4243-BF5B-200471A2688F}"/>
            </c:ext>
          </c:extLst>
        </c:ser>
        <c:ser>
          <c:idx val="179"/>
          <c:order val="17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RESULTS'!$B$182:$L$182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4369.9487087417419</c:v>
                </c:pt>
                <c:pt idx="2">
                  <c:v>6821.3225183981558</c:v>
                </c:pt>
                <c:pt idx="3">
                  <c:v>8339.0993274839093</c:v>
                </c:pt>
                <c:pt idx="4">
                  <c:v>8004.2700527494198</c:v>
                </c:pt>
                <c:pt idx="5">
                  <c:v>3770.997479075615</c:v>
                </c:pt>
                <c:pt idx="6">
                  <c:v>5220.5811451524078</c:v>
                </c:pt>
                <c:pt idx="7">
                  <c:v>2441.7055671871512</c:v>
                </c:pt>
                <c:pt idx="8">
                  <c:v>4079.1854413337896</c:v>
                </c:pt>
                <c:pt idx="9">
                  <c:v>-892.72958863642816</c:v>
                </c:pt>
                <c:pt idx="10">
                  <c:v>-1318.4808747303059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3-F3C8-4243-BF5B-200471A2688F}"/>
            </c:ext>
          </c:extLst>
        </c:ser>
        <c:ser>
          <c:idx val="180"/>
          <c:order val="18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RESULTS'!$B$183:$L$183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7797.7032181233208</c:v>
                </c:pt>
                <c:pt idx="2">
                  <c:v>13239.803371828795</c:v>
                </c:pt>
                <c:pt idx="3">
                  <c:v>3259.7431464791625</c:v>
                </c:pt>
                <c:pt idx="4">
                  <c:v>10866.577868121394</c:v>
                </c:pt>
                <c:pt idx="5">
                  <c:v>10767.082112980008</c:v>
                </c:pt>
                <c:pt idx="6">
                  <c:v>15665.713504687967</c:v>
                </c:pt>
                <c:pt idx="7">
                  <c:v>19132.812147351357</c:v>
                </c:pt>
                <c:pt idx="8">
                  <c:v>24076.724633838548</c:v>
                </c:pt>
                <c:pt idx="9">
                  <c:v>33136.921844808625</c:v>
                </c:pt>
                <c:pt idx="10">
                  <c:v>24994.572737836279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F3C8-4243-BF5B-200471A2688F}"/>
            </c:ext>
          </c:extLst>
        </c:ser>
        <c:ser>
          <c:idx val="181"/>
          <c:order val="18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RESULTS'!$B$184:$L$184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2900.8771397394776</c:v>
                </c:pt>
                <c:pt idx="2">
                  <c:v>893.90834590632949</c:v>
                </c:pt>
                <c:pt idx="3">
                  <c:v>3014.9699323929417</c:v>
                </c:pt>
                <c:pt idx="4">
                  <c:v>4396.568319299613</c:v>
                </c:pt>
                <c:pt idx="5">
                  <c:v>4420.5977475768996</c:v>
                </c:pt>
                <c:pt idx="6">
                  <c:v>7169.6260238535833</c:v>
                </c:pt>
                <c:pt idx="7">
                  <c:v>9289.6906742271094</c:v>
                </c:pt>
                <c:pt idx="8">
                  <c:v>14448.768082782288</c:v>
                </c:pt>
                <c:pt idx="9">
                  <c:v>9357.8494876072491</c:v>
                </c:pt>
                <c:pt idx="10">
                  <c:v>20778.943287540082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5-F3C8-4243-BF5B-200471A2688F}"/>
            </c:ext>
          </c:extLst>
        </c:ser>
        <c:ser>
          <c:idx val="182"/>
          <c:order val="18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RESULTS'!$B$185:$L$185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12529.996365448722</c:v>
                </c:pt>
                <c:pt idx="2">
                  <c:v>22447.571600526986</c:v>
                </c:pt>
                <c:pt idx="3">
                  <c:v>27044.42741615804</c:v>
                </c:pt>
                <c:pt idx="4">
                  <c:v>29098.622446875415</c:v>
                </c:pt>
                <c:pt idx="5">
                  <c:v>39208.253790453535</c:v>
                </c:pt>
                <c:pt idx="6">
                  <c:v>52815.752928076981</c:v>
                </c:pt>
                <c:pt idx="7">
                  <c:v>62461.902025331336</c:v>
                </c:pt>
                <c:pt idx="8">
                  <c:v>92078.861480486245</c:v>
                </c:pt>
                <c:pt idx="9">
                  <c:v>139267.83252134445</c:v>
                </c:pt>
                <c:pt idx="10">
                  <c:v>222023.69848617265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6-F3C8-4243-BF5B-200471A2688F}"/>
            </c:ext>
          </c:extLst>
        </c:ser>
        <c:ser>
          <c:idx val="183"/>
          <c:order val="18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RESULTS'!$B$186:$L$186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3624.9323144714081</c:v>
                </c:pt>
                <c:pt idx="2">
                  <c:v>5107.8955358497515</c:v>
                </c:pt>
                <c:pt idx="3">
                  <c:v>10307.047589192927</c:v>
                </c:pt>
                <c:pt idx="4">
                  <c:v>4279.1805076205346</c:v>
                </c:pt>
                <c:pt idx="5">
                  <c:v>6543.5884137894645</c:v>
                </c:pt>
                <c:pt idx="6">
                  <c:v>5373.2412663171017</c:v>
                </c:pt>
                <c:pt idx="7">
                  <c:v>3769.7004729650944</c:v>
                </c:pt>
                <c:pt idx="8">
                  <c:v>3524.4048421300477</c:v>
                </c:pt>
                <c:pt idx="9">
                  <c:v>-591.41828369692666</c:v>
                </c:pt>
                <c:pt idx="10">
                  <c:v>-916.42066239340784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7-F3C8-4243-BF5B-200471A2688F}"/>
            </c:ext>
          </c:extLst>
        </c:ser>
        <c:ser>
          <c:idx val="184"/>
          <c:order val="18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RESULTS'!$B$187:$L$187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5400.8699306902672</c:v>
                </c:pt>
                <c:pt idx="2">
                  <c:v>5113.0560416828885</c:v>
                </c:pt>
                <c:pt idx="3">
                  <c:v>4618.1229622051742</c:v>
                </c:pt>
                <c:pt idx="4">
                  <c:v>-1637.6222533540031</c:v>
                </c:pt>
                <c:pt idx="5">
                  <c:v>780.1919561390996</c:v>
                </c:pt>
                <c:pt idx="6">
                  <c:v>2916.9673984265319</c:v>
                </c:pt>
                <c:pt idx="7">
                  <c:v>2144.0648593565647</c:v>
                </c:pt>
                <c:pt idx="8">
                  <c:v>75.347932740360193</c:v>
                </c:pt>
                <c:pt idx="9">
                  <c:v>1446.9870167965928</c:v>
                </c:pt>
                <c:pt idx="10">
                  <c:v>2094.2215857767778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8-F3C8-4243-BF5B-200471A2688F}"/>
            </c:ext>
          </c:extLst>
        </c:ser>
        <c:ser>
          <c:idx val="185"/>
          <c:order val="18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RESULTS'!$B$188:$L$188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3251.0764866657319</c:v>
                </c:pt>
                <c:pt idx="2">
                  <c:v>2759.6547992001424</c:v>
                </c:pt>
                <c:pt idx="3">
                  <c:v>4538.0813185312018</c:v>
                </c:pt>
                <c:pt idx="4">
                  <c:v>4299.5855305975238</c:v>
                </c:pt>
                <c:pt idx="5">
                  <c:v>4783.6161658404744</c:v>
                </c:pt>
                <c:pt idx="6">
                  <c:v>8555.2625557506726</c:v>
                </c:pt>
                <c:pt idx="7">
                  <c:v>5928.4721781477801</c:v>
                </c:pt>
                <c:pt idx="8">
                  <c:v>10799.640795556104</c:v>
                </c:pt>
                <c:pt idx="9">
                  <c:v>15109.055919179023</c:v>
                </c:pt>
                <c:pt idx="10">
                  <c:v>12297.308654207773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9-F3C8-4243-BF5B-200471A2688F}"/>
            </c:ext>
          </c:extLst>
        </c:ser>
        <c:ser>
          <c:idx val="186"/>
          <c:order val="18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RESULTS'!$B$189:$L$189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9199.1580866731147</c:v>
                </c:pt>
                <c:pt idx="2">
                  <c:v>11188.309471198272</c:v>
                </c:pt>
                <c:pt idx="3">
                  <c:v>15145.403369042098</c:v>
                </c:pt>
                <c:pt idx="4">
                  <c:v>7013.3038057814319</c:v>
                </c:pt>
                <c:pt idx="5">
                  <c:v>16009.645261911748</c:v>
                </c:pt>
                <c:pt idx="6">
                  <c:v>23107.398176612885</c:v>
                </c:pt>
                <c:pt idx="7">
                  <c:v>25217.792475543181</c:v>
                </c:pt>
                <c:pt idx="8">
                  <c:v>25336.488596492803</c:v>
                </c:pt>
                <c:pt idx="9">
                  <c:v>31399.761852544703</c:v>
                </c:pt>
                <c:pt idx="10">
                  <c:v>41291.437584641964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A-F3C8-4243-BF5B-200471A2688F}"/>
            </c:ext>
          </c:extLst>
        </c:ser>
        <c:ser>
          <c:idx val="187"/>
          <c:order val="18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RESULTS'!$B$190:$L$190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11185.925967182211</c:v>
                </c:pt>
                <c:pt idx="2">
                  <c:v>8241.2067696570521</c:v>
                </c:pt>
                <c:pt idx="3">
                  <c:v>8646.5758958683564</c:v>
                </c:pt>
                <c:pt idx="4">
                  <c:v>8793.3432390428461</c:v>
                </c:pt>
                <c:pt idx="5">
                  <c:v>10916.268711107045</c:v>
                </c:pt>
                <c:pt idx="6">
                  <c:v>21765.768031914424</c:v>
                </c:pt>
                <c:pt idx="7">
                  <c:v>25097.457026364078</c:v>
                </c:pt>
                <c:pt idx="8">
                  <c:v>30106.77671160474</c:v>
                </c:pt>
                <c:pt idx="9">
                  <c:v>42350.878219548664</c:v>
                </c:pt>
                <c:pt idx="10">
                  <c:v>47738.401111783387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B-F3C8-4243-BF5B-200471A2688F}"/>
            </c:ext>
          </c:extLst>
        </c:ser>
        <c:ser>
          <c:idx val="188"/>
          <c:order val="18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RESULTS'!$B$191:$L$191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8090.1888834407218</c:v>
                </c:pt>
                <c:pt idx="2">
                  <c:v>13973.030197939977</c:v>
                </c:pt>
                <c:pt idx="3">
                  <c:v>12779.831543928536</c:v>
                </c:pt>
                <c:pt idx="4">
                  <c:v>16765.978279438652</c:v>
                </c:pt>
                <c:pt idx="5">
                  <c:v>26753.306327324131</c:v>
                </c:pt>
                <c:pt idx="6">
                  <c:v>21986.231660372323</c:v>
                </c:pt>
                <c:pt idx="7">
                  <c:v>27459.496955896859</c:v>
                </c:pt>
                <c:pt idx="8">
                  <c:v>37651.602311265393</c:v>
                </c:pt>
                <c:pt idx="9">
                  <c:v>39037.698722508583</c:v>
                </c:pt>
                <c:pt idx="10">
                  <c:v>40057.906591307154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C-F3C8-4243-BF5B-200471A2688F}"/>
            </c:ext>
          </c:extLst>
        </c:ser>
        <c:ser>
          <c:idx val="189"/>
          <c:order val="18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RESULTS'!$B$192:$L$192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3826.6744917589094</c:v>
                </c:pt>
                <c:pt idx="2">
                  <c:v>662.75057144631501</c:v>
                </c:pt>
                <c:pt idx="3">
                  <c:v>1736.1088583450537</c:v>
                </c:pt>
                <c:pt idx="4">
                  <c:v>5706.2959301254396</c:v>
                </c:pt>
                <c:pt idx="5">
                  <c:v>5303.5030432515632</c:v>
                </c:pt>
                <c:pt idx="6">
                  <c:v>8172.04412361303</c:v>
                </c:pt>
                <c:pt idx="7">
                  <c:v>2524.2871665855509</c:v>
                </c:pt>
                <c:pt idx="8">
                  <c:v>3811.6274989908106</c:v>
                </c:pt>
                <c:pt idx="9">
                  <c:v>4761.8708337905227</c:v>
                </c:pt>
                <c:pt idx="10">
                  <c:v>8096.6564619903511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D-F3C8-4243-BF5B-200471A2688F}"/>
            </c:ext>
          </c:extLst>
        </c:ser>
        <c:ser>
          <c:idx val="190"/>
          <c:order val="19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RESULTS'!$B$193:$L$193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3598.4949312303497</c:v>
                </c:pt>
                <c:pt idx="2">
                  <c:v>2759.2410414917213</c:v>
                </c:pt>
                <c:pt idx="3">
                  <c:v>4500.5888661426361</c:v>
                </c:pt>
                <c:pt idx="4">
                  <c:v>623.43171744753636</c:v>
                </c:pt>
                <c:pt idx="5">
                  <c:v>2279.5046008254894</c:v>
                </c:pt>
                <c:pt idx="6">
                  <c:v>5453.1428739072999</c:v>
                </c:pt>
                <c:pt idx="7">
                  <c:v>2396.4503268041835</c:v>
                </c:pt>
                <c:pt idx="8">
                  <c:v>2684.07291276248</c:v>
                </c:pt>
                <c:pt idx="9">
                  <c:v>1494.9173078253043</c:v>
                </c:pt>
                <c:pt idx="10">
                  <c:v>318.54038483070781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E-F3C8-4243-BF5B-200471A2688F}"/>
            </c:ext>
          </c:extLst>
        </c:ser>
        <c:ser>
          <c:idx val="191"/>
          <c:order val="19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RESULTS'!$B$194:$L$194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5796.6580598268829</c:v>
                </c:pt>
                <c:pt idx="2">
                  <c:v>5654.2410838045926</c:v>
                </c:pt>
                <c:pt idx="3">
                  <c:v>3331.7184610311733</c:v>
                </c:pt>
                <c:pt idx="4">
                  <c:v>2637.19980752215</c:v>
                </c:pt>
                <c:pt idx="5">
                  <c:v>5330.2814052478152</c:v>
                </c:pt>
                <c:pt idx="6">
                  <c:v>2661.208369761237</c:v>
                </c:pt>
                <c:pt idx="7">
                  <c:v>6538.245390019636</c:v>
                </c:pt>
                <c:pt idx="8">
                  <c:v>4870.2592068621161</c:v>
                </c:pt>
                <c:pt idx="9">
                  <c:v>4125.3198028009901</c:v>
                </c:pt>
                <c:pt idx="10">
                  <c:v>5408.9042774792742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F-F3C8-4243-BF5B-200471A2688F}"/>
            </c:ext>
          </c:extLst>
        </c:ser>
        <c:ser>
          <c:idx val="192"/>
          <c:order val="19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RESULTS'!$B$195:$L$195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8207.9788170862412</c:v>
                </c:pt>
                <c:pt idx="2">
                  <c:v>9050.6701602373905</c:v>
                </c:pt>
                <c:pt idx="3">
                  <c:v>9414.0437930528697</c:v>
                </c:pt>
                <c:pt idx="4">
                  <c:v>12568.20363512927</c:v>
                </c:pt>
                <c:pt idx="5">
                  <c:v>18711.04802443345</c:v>
                </c:pt>
                <c:pt idx="6">
                  <c:v>24608.206760268829</c:v>
                </c:pt>
                <c:pt idx="7">
                  <c:v>30996.419002217495</c:v>
                </c:pt>
                <c:pt idx="8">
                  <c:v>45520.327856118514</c:v>
                </c:pt>
                <c:pt idx="9">
                  <c:v>41545.325324515194</c:v>
                </c:pt>
                <c:pt idx="10">
                  <c:v>48070.273537713321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0-F3C8-4243-BF5B-200471A2688F}"/>
            </c:ext>
          </c:extLst>
        </c:ser>
        <c:ser>
          <c:idx val="193"/>
          <c:order val="19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RESULTS'!$B$196:$L$196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5133.9432466309299</c:v>
                </c:pt>
                <c:pt idx="2">
                  <c:v>5973.2261142702864</c:v>
                </c:pt>
                <c:pt idx="3">
                  <c:v>10816.477652718024</c:v>
                </c:pt>
                <c:pt idx="4">
                  <c:v>9575.9095961212952</c:v>
                </c:pt>
                <c:pt idx="5">
                  <c:v>10649.461785570995</c:v>
                </c:pt>
                <c:pt idx="6">
                  <c:v>10017.041835946828</c:v>
                </c:pt>
                <c:pt idx="7">
                  <c:v>13139.668023367474</c:v>
                </c:pt>
                <c:pt idx="8">
                  <c:v>16891.679626997648</c:v>
                </c:pt>
                <c:pt idx="9">
                  <c:v>36554.425502410159</c:v>
                </c:pt>
                <c:pt idx="10">
                  <c:v>52179.203323205125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1-F3C8-4243-BF5B-200471A2688F}"/>
            </c:ext>
          </c:extLst>
        </c:ser>
        <c:ser>
          <c:idx val="194"/>
          <c:order val="19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RESULTS'!$B$197:$L$197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5203.3202417229113</c:v>
                </c:pt>
                <c:pt idx="2">
                  <c:v>5433.3948992234582</c:v>
                </c:pt>
                <c:pt idx="3">
                  <c:v>13740.746012374253</c:v>
                </c:pt>
                <c:pt idx="4">
                  <c:v>14501.446437226205</c:v>
                </c:pt>
                <c:pt idx="5">
                  <c:v>5651.2689848225509</c:v>
                </c:pt>
                <c:pt idx="6">
                  <c:v>8268.9172868040296</c:v>
                </c:pt>
                <c:pt idx="7">
                  <c:v>11800.935749915643</c:v>
                </c:pt>
                <c:pt idx="8">
                  <c:v>11434.884002313403</c:v>
                </c:pt>
                <c:pt idx="9">
                  <c:v>11139.421498566793</c:v>
                </c:pt>
                <c:pt idx="10">
                  <c:v>9375.0627900123982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2-F3C8-4243-BF5B-200471A2688F}"/>
            </c:ext>
          </c:extLst>
        </c:ser>
        <c:ser>
          <c:idx val="195"/>
          <c:order val="19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RESULTS'!$B$198:$L$198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3403.2480865961716</c:v>
                </c:pt>
                <c:pt idx="2">
                  <c:v>745.98947388406486</c:v>
                </c:pt>
                <c:pt idx="3">
                  <c:v>2204.824757102595</c:v>
                </c:pt>
                <c:pt idx="4">
                  <c:v>4223.7200515260884</c:v>
                </c:pt>
                <c:pt idx="5">
                  <c:v>8078.4358877472878</c:v>
                </c:pt>
                <c:pt idx="6">
                  <c:v>6958.4303872207965</c:v>
                </c:pt>
                <c:pt idx="7">
                  <c:v>11824.865761404097</c:v>
                </c:pt>
                <c:pt idx="8">
                  <c:v>19761.463763717296</c:v>
                </c:pt>
                <c:pt idx="9">
                  <c:v>26116.71291873623</c:v>
                </c:pt>
                <c:pt idx="10">
                  <c:v>32283.823931794846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3-F3C8-4243-BF5B-200471A2688F}"/>
            </c:ext>
          </c:extLst>
        </c:ser>
        <c:ser>
          <c:idx val="196"/>
          <c:order val="19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RESULTS'!$B$199:$L$199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51.176623930463393</c:v>
                </c:pt>
                <c:pt idx="2">
                  <c:v>1514.325197058397</c:v>
                </c:pt>
                <c:pt idx="3">
                  <c:v>2032.5271287884616</c:v>
                </c:pt>
                <c:pt idx="4">
                  <c:v>4100.2291315637576</c:v>
                </c:pt>
                <c:pt idx="5">
                  <c:v>8376.8158943454619</c:v>
                </c:pt>
                <c:pt idx="6">
                  <c:v>10048.668759564918</c:v>
                </c:pt>
                <c:pt idx="7">
                  <c:v>8673.6250900638315</c:v>
                </c:pt>
                <c:pt idx="8">
                  <c:v>9701.6642383708095</c:v>
                </c:pt>
                <c:pt idx="9">
                  <c:v>8519.6463695392758</c:v>
                </c:pt>
                <c:pt idx="10">
                  <c:v>12085.538202966647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4-F3C8-4243-BF5B-200471A2688F}"/>
            </c:ext>
          </c:extLst>
        </c:ser>
        <c:ser>
          <c:idx val="197"/>
          <c:order val="19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RESULTS'!$B$200:$L$200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2634.4238875832289</c:v>
                </c:pt>
                <c:pt idx="2">
                  <c:v>4706.5998997448842</c:v>
                </c:pt>
                <c:pt idx="3">
                  <c:v>7165.4961311141324</c:v>
                </c:pt>
                <c:pt idx="4">
                  <c:v>10463.379550429268</c:v>
                </c:pt>
                <c:pt idx="5">
                  <c:v>11576.646387104245</c:v>
                </c:pt>
                <c:pt idx="6">
                  <c:v>17390.801872728462</c:v>
                </c:pt>
                <c:pt idx="7">
                  <c:v>14819.634098761435</c:v>
                </c:pt>
                <c:pt idx="8">
                  <c:v>15313.224829947852</c:v>
                </c:pt>
                <c:pt idx="9">
                  <c:v>24514.469406733017</c:v>
                </c:pt>
                <c:pt idx="10">
                  <c:v>33877.466355717603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5-F3C8-4243-BF5B-200471A2688F}"/>
            </c:ext>
          </c:extLst>
        </c:ser>
        <c:ser>
          <c:idx val="198"/>
          <c:order val="19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RESULTS'!$B$201:$L$201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11245.52534320421</c:v>
                </c:pt>
                <c:pt idx="2">
                  <c:v>16226.978012830004</c:v>
                </c:pt>
                <c:pt idx="3">
                  <c:v>19003.951807256723</c:v>
                </c:pt>
                <c:pt idx="4">
                  <c:v>18827.080547810641</c:v>
                </c:pt>
                <c:pt idx="5">
                  <c:v>24823.751240159207</c:v>
                </c:pt>
                <c:pt idx="6">
                  <c:v>33624.445629974107</c:v>
                </c:pt>
                <c:pt idx="7">
                  <c:v>60498.066838923914</c:v>
                </c:pt>
                <c:pt idx="8">
                  <c:v>70620.157660147175</c:v>
                </c:pt>
                <c:pt idx="9">
                  <c:v>66757.118392425851</c:v>
                </c:pt>
                <c:pt idx="10">
                  <c:v>94698.365162441332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6-F3C8-4243-BF5B-200471A2688F}"/>
            </c:ext>
          </c:extLst>
        </c:ser>
        <c:ser>
          <c:idx val="199"/>
          <c:order val="19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RESULTS'!$B$202:$L$202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7272.3110194756373</c:v>
                </c:pt>
                <c:pt idx="2">
                  <c:v>12411.075400015947</c:v>
                </c:pt>
                <c:pt idx="3">
                  <c:v>13753.082717515896</c:v>
                </c:pt>
                <c:pt idx="4">
                  <c:v>12979.140664568669</c:v>
                </c:pt>
                <c:pt idx="5">
                  <c:v>21795.140271826545</c:v>
                </c:pt>
                <c:pt idx="6">
                  <c:v>17451.188403704658</c:v>
                </c:pt>
                <c:pt idx="7">
                  <c:v>18555.02278979676</c:v>
                </c:pt>
                <c:pt idx="8">
                  <c:v>18904.775206259408</c:v>
                </c:pt>
                <c:pt idx="9">
                  <c:v>19780.533176227018</c:v>
                </c:pt>
                <c:pt idx="10">
                  <c:v>25890.361770730731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7-F3C8-4243-BF5B-200471A2688F}"/>
            </c:ext>
          </c:extLst>
        </c:ser>
        <c:ser>
          <c:idx val="200"/>
          <c:order val="20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RESULTS'!$B$203:$L$203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3692.8547741850089</c:v>
                </c:pt>
                <c:pt idx="2">
                  <c:v>3203.886923752957</c:v>
                </c:pt>
                <c:pt idx="3">
                  <c:v>2033.4730492540493</c:v>
                </c:pt>
                <c:pt idx="4">
                  <c:v>2139.427854206755</c:v>
                </c:pt>
                <c:pt idx="5">
                  <c:v>3556.9414917474905</c:v>
                </c:pt>
                <c:pt idx="6">
                  <c:v>6140.1041624114459</c:v>
                </c:pt>
                <c:pt idx="7">
                  <c:v>9612.779292625748</c:v>
                </c:pt>
                <c:pt idx="8">
                  <c:v>9967.2348622174777</c:v>
                </c:pt>
                <c:pt idx="9">
                  <c:v>14893.498561649252</c:v>
                </c:pt>
                <c:pt idx="10">
                  <c:v>15805.384626818963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8-F3C8-4243-BF5B-200471A2688F}"/>
            </c:ext>
          </c:extLst>
        </c:ser>
        <c:ser>
          <c:idx val="201"/>
          <c:order val="20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RESULTS'!$B$204:$L$204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5301.8577827972495</c:v>
                </c:pt>
                <c:pt idx="2">
                  <c:v>2740.1563908514072</c:v>
                </c:pt>
                <c:pt idx="3">
                  <c:v>1940.5038483516319</c:v>
                </c:pt>
                <c:pt idx="4">
                  <c:v>4247.9268102426231</c:v>
                </c:pt>
                <c:pt idx="5">
                  <c:v>6068.6481124301645</c:v>
                </c:pt>
                <c:pt idx="6">
                  <c:v>9681.2504598458054</c:v>
                </c:pt>
                <c:pt idx="7">
                  <c:v>13964.441515336148</c:v>
                </c:pt>
                <c:pt idx="8">
                  <c:v>15278.674402980672</c:v>
                </c:pt>
                <c:pt idx="9">
                  <c:v>14793.35453598385</c:v>
                </c:pt>
                <c:pt idx="10">
                  <c:v>13299.43732811567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9-F3C8-4243-BF5B-200471A2688F}"/>
            </c:ext>
          </c:extLst>
        </c:ser>
        <c:ser>
          <c:idx val="202"/>
          <c:order val="20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RESULTS'!$B$205:$L$205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3171.8259423042173</c:v>
                </c:pt>
                <c:pt idx="2">
                  <c:v>4507.618038291208</c:v>
                </c:pt>
                <c:pt idx="3">
                  <c:v>5272.886154376798</c:v>
                </c:pt>
                <c:pt idx="4">
                  <c:v>2262.9130933782217</c:v>
                </c:pt>
                <c:pt idx="5">
                  <c:v>2772.8648618223197</c:v>
                </c:pt>
                <c:pt idx="6">
                  <c:v>5444.3899074662349</c:v>
                </c:pt>
                <c:pt idx="7">
                  <c:v>19097.019622773063</c:v>
                </c:pt>
                <c:pt idx="8">
                  <c:v>12447.35629096358</c:v>
                </c:pt>
                <c:pt idx="9">
                  <c:v>14364.362286140487</c:v>
                </c:pt>
                <c:pt idx="10">
                  <c:v>19141.468045667811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A-F3C8-4243-BF5B-200471A2688F}"/>
            </c:ext>
          </c:extLst>
        </c:ser>
        <c:ser>
          <c:idx val="203"/>
          <c:order val="20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RESULTS'!$B$206:$L$206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5918.0548498800927</c:v>
                </c:pt>
                <c:pt idx="2">
                  <c:v>5334.9422689452131</c:v>
                </c:pt>
                <c:pt idx="3">
                  <c:v>2555.7711738904445</c:v>
                </c:pt>
                <c:pt idx="4">
                  <c:v>4029.7637715826349</c:v>
                </c:pt>
                <c:pt idx="5">
                  <c:v>6397.132338118452</c:v>
                </c:pt>
                <c:pt idx="6">
                  <c:v>4924.1931904903486</c:v>
                </c:pt>
                <c:pt idx="7">
                  <c:v>7756.5025258743408</c:v>
                </c:pt>
                <c:pt idx="8">
                  <c:v>12909.333525379032</c:v>
                </c:pt>
                <c:pt idx="9">
                  <c:v>15866.31052984186</c:v>
                </c:pt>
                <c:pt idx="10">
                  <c:v>18969.009092826411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B-F3C8-4243-BF5B-200471A2688F}"/>
            </c:ext>
          </c:extLst>
        </c:ser>
        <c:ser>
          <c:idx val="204"/>
          <c:order val="20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RESULTS'!$B$207:$L$207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2842.357389269524</c:v>
                </c:pt>
                <c:pt idx="2">
                  <c:v>2715.131879664701</c:v>
                </c:pt>
                <c:pt idx="3">
                  <c:v>3053.8243373211626</c:v>
                </c:pt>
                <c:pt idx="4">
                  <c:v>2546.6634247217071</c:v>
                </c:pt>
                <c:pt idx="5">
                  <c:v>3711.0656892782154</c:v>
                </c:pt>
                <c:pt idx="6">
                  <c:v>7606.8649628932835</c:v>
                </c:pt>
                <c:pt idx="7">
                  <c:v>13723.747264511232</c:v>
                </c:pt>
                <c:pt idx="8">
                  <c:v>13177.247832865913</c:v>
                </c:pt>
                <c:pt idx="9">
                  <c:v>10110.907056863927</c:v>
                </c:pt>
                <c:pt idx="10">
                  <c:v>8510.262238835483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C-F3C8-4243-BF5B-200471A2688F}"/>
            </c:ext>
          </c:extLst>
        </c:ser>
        <c:ser>
          <c:idx val="205"/>
          <c:order val="20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RESULTS'!$B$208:$L$208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454.26684187280262</c:v>
                </c:pt>
                <c:pt idx="2">
                  <c:v>852.7934101533865</c:v>
                </c:pt>
                <c:pt idx="3">
                  <c:v>1774.1576409012905</c:v>
                </c:pt>
                <c:pt idx="4">
                  <c:v>1162.6125273311072</c:v>
                </c:pt>
                <c:pt idx="5">
                  <c:v>2257.3361786806709</c:v>
                </c:pt>
                <c:pt idx="6">
                  <c:v>2141.4103502851649</c:v>
                </c:pt>
                <c:pt idx="7">
                  <c:v>2101.3366063162212</c:v>
                </c:pt>
                <c:pt idx="8">
                  <c:v>2875.586773518904</c:v>
                </c:pt>
                <c:pt idx="9">
                  <c:v>2367.5388730656086</c:v>
                </c:pt>
                <c:pt idx="10">
                  <c:v>5318.9975932844245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D-F3C8-4243-BF5B-200471A2688F}"/>
            </c:ext>
          </c:extLst>
        </c:ser>
        <c:ser>
          <c:idx val="206"/>
          <c:order val="20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RESULTS'!$B$209:$L$209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10410.153736396987</c:v>
                </c:pt>
                <c:pt idx="2">
                  <c:v>11209.787316397405</c:v>
                </c:pt>
                <c:pt idx="3">
                  <c:v>11836.926074077541</c:v>
                </c:pt>
                <c:pt idx="4">
                  <c:v>12575.82360682173</c:v>
                </c:pt>
                <c:pt idx="5">
                  <c:v>19409.325686811782</c:v>
                </c:pt>
                <c:pt idx="6">
                  <c:v>23346.415543512609</c:v>
                </c:pt>
                <c:pt idx="7">
                  <c:v>29932.812598441822</c:v>
                </c:pt>
                <c:pt idx="8">
                  <c:v>30518.832586944714</c:v>
                </c:pt>
                <c:pt idx="9">
                  <c:v>40430.046428107533</c:v>
                </c:pt>
                <c:pt idx="10">
                  <c:v>42654.573522275583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E-F3C8-4243-BF5B-200471A2688F}"/>
            </c:ext>
          </c:extLst>
        </c:ser>
        <c:ser>
          <c:idx val="207"/>
          <c:order val="20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RESULTS'!$B$210:$L$210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4229.9645452511431</c:v>
                </c:pt>
                <c:pt idx="2">
                  <c:v>5177.9123403986014</c:v>
                </c:pt>
                <c:pt idx="3">
                  <c:v>13444.734116911983</c:v>
                </c:pt>
                <c:pt idx="4">
                  <c:v>11005.729524308432</c:v>
                </c:pt>
                <c:pt idx="5">
                  <c:v>8521.0932597161009</c:v>
                </c:pt>
                <c:pt idx="6">
                  <c:v>18852.076021461457</c:v>
                </c:pt>
                <c:pt idx="7">
                  <c:v>29762.010457042612</c:v>
                </c:pt>
                <c:pt idx="8">
                  <c:v>48263.695962117243</c:v>
                </c:pt>
                <c:pt idx="9">
                  <c:v>59962.426638993056</c:v>
                </c:pt>
                <c:pt idx="10">
                  <c:v>66752.945745320205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F-F3C8-4243-BF5B-200471A2688F}"/>
            </c:ext>
          </c:extLst>
        </c:ser>
        <c:ser>
          <c:idx val="208"/>
          <c:order val="20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RESULTS'!$B$211:$L$211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9851.3740496805003</c:v>
                </c:pt>
                <c:pt idx="2">
                  <c:v>16334.553381985228</c:v>
                </c:pt>
                <c:pt idx="3">
                  <c:v>25114.441969168882</c:v>
                </c:pt>
                <c:pt idx="4">
                  <c:v>21564.053249192159</c:v>
                </c:pt>
                <c:pt idx="5">
                  <c:v>23051.831917934607</c:v>
                </c:pt>
                <c:pt idx="6">
                  <c:v>18176.960755519118</c:v>
                </c:pt>
                <c:pt idx="7">
                  <c:v>15610.994183584829</c:v>
                </c:pt>
                <c:pt idx="8">
                  <c:v>25416.653448421679</c:v>
                </c:pt>
                <c:pt idx="9">
                  <c:v>33588.060272501258</c:v>
                </c:pt>
                <c:pt idx="10">
                  <c:v>33986.583110891253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0-F3C8-4243-BF5B-200471A2688F}"/>
            </c:ext>
          </c:extLst>
        </c:ser>
        <c:ser>
          <c:idx val="209"/>
          <c:order val="20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RESULTS'!$B$212:$L$212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12878.670264244483</c:v>
                </c:pt>
                <c:pt idx="2">
                  <c:v>14793.678003389843</c:v>
                </c:pt>
                <c:pt idx="3">
                  <c:v>9431.860153611733</c:v>
                </c:pt>
                <c:pt idx="4">
                  <c:v>9775.6823466818823</c:v>
                </c:pt>
                <c:pt idx="5">
                  <c:v>13792.019578235573</c:v>
                </c:pt>
                <c:pt idx="6">
                  <c:v>6371.9967471126947</c:v>
                </c:pt>
                <c:pt idx="7">
                  <c:v>8442.5083544268036</c:v>
                </c:pt>
                <c:pt idx="8">
                  <c:v>11709.138748025116</c:v>
                </c:pt>
                <c:pt idx="9">
                  <c:v>17374.036103629835</c:v>
                </c:pt>
                <c:pt idx="10">
                  <c:v>24944.761785624294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1-F3C8-4243-BF5B-200471A2688F}"/>
            </c:ext>
          </c:extLst>
        </c:ser>
        <c:ser>
          <c:idx val="210"/>
          <c:order val="2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RESULTS'!$B$213:$L$213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10324.805035132245</c:v>
                </c:pt>
                <c:pt idx="2">
                  <c:v>10820.392757561716</c:v>
                </c:pt>
                <c:pt idx="3">
                  <c:v>11945.146464576632</c:v>
                </c:pt>
                <c:pt idx="4">
                  <c:v>8339.6969013447815</c:v>
                </c:pt>
                <c:pt idx="5">
                  <c:v>13671.017752836171</c:v>
                </c:pt>
                <c:pt idx="6">
                  <c:v>17929.192063572027</c:v>
                </c:pt>
                <c:pt idx="7">
                  <c:v>25935.034729366722</c:v>
                </c:pt>
                <c:pt idx="8">
                  <c:v>29917.765322008861</c:v>
                </c:pt>
                <c:pt idx="9">
                  <c:v>30535.723070933105</c:v>
                </c:pt>
                <c:pt idx="10">
                  <c:v>44232.418486885275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2-F3C8-4243-BF5B-200471A2688F}"/>
            </c:ext>
          </c:extLst>
        </c:ser>
        <c:ser>
          <c:idx val="211"/>
          <c:order val="2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RESULTS'!$B$214:$L$214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1284.9510437093159</c:v>
                </c:pt>
                <c:pt idx="2">
                  <c:v>3079.9381860313142</c:v>
                </c:pt>
                <c:pt idx="3">
                  <c:v>-596.74293307853213</c:v>
                </c:pt>
                <c:pt idx="4">
                  <c:v>-1065.9546111249365</c:v>
                </c:pt>
                <c:pt idx="5">
                  <c:v>174.66592260805828</c:v>
                </c:pt>
                <c:pt idx="6">
                  <c:v>-303.01815560287559</c:v>
                </c:pt>
                <c:pt idx="7">
                  <c:v>-69.590987591120211</c:v>
                </c:pt>
                <c:pt idx="8">
                  <c:v>2852.7035153225816</c:v>
                </c:pt>
                <c:pt idx="9">
                  <c:v>1059.8887920832785</c:v>
                </c:pt>
                <c:pt idx="10">
                  <c:v>118.48242546713209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3-F3C8-4243-BF5B-200471A2688F}"/>
            </c:ext>
          </c:extLst>
        </c:ser>
        <c:ser>
          <c:idx val="212"/>
          <c:order val="2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RESULTS'!$B$215:$L$215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481.9428380572499</c:v>
                </c:pt>
                <c:pt idx="2">
                  <c:v>-761.16636103489782</c:v>
                </c:pt>
                <c:pt idx="3">
                  <c:v>-1568.2094305603659</c:v>
                </c:pt>
                <c:pt idx="4">
                  <c:v>-1767.1105120124821</c:v>
                </c:pt>
                <c:pt idx="5">
                  <c:v>-2870.4255377994459</c:v>
                </c:pt>
                <c:pt idx="6">
                  <c:v>-3336.6584459900332</c:v>
                </c:pt>
                <c:pt idx="7">
                  <c:v>-3591.7029040850575</c:v>
                </c:pt>
                <c:pt idx="8">
                  <c:v>-4078.5553467296786</c:v>
                </c:pt>
                <c:pt idx="9">
                  <c:v>-3987.271719970825</c:v>
                </c:pt>
                <c:pt idx="10">
                  <c:v>-3621.2193736964236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4-F3C8-4243-BF5B-200471A2688F}"/>
            </c:ext>
          </c:extLst>
        </c:ser>
        <c:ser>
          <c:idx val="213"/>
          <c:order val="2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RESULTS'!$B$216:$L$216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2391.3757141190181</c:v>
                </c:pt>
                <c:pt idx="2">
                  <c:v>1296.4802956559679</c:v>
                </c:pt>
                <c:pt idx="3">
                  <c:v>1956.5112992686081</c:v>
                </c:pt>
                <c:pt idx="4">
                  <c:v>2411.0659764085467</c:v>
                </c:pt>
                <c:pt idx="5">
                  <c:v>3592.2078488908764</c:v>
                </c:pt>
                <c:pt idx="6">
                  <c:v>3410.6886845686213</c:v>
                </c:pt>
                <c:pt idx="7">
                  <c:v>787.70746412153676</c:v>
                </c:pt>
                <c:pt idx="8">
                  <c:v>4798.5985425453073</c:v>
                </c:pt>
                <c:pt idx="9">
                  <c:v>2047.9086692005394</c:v>
                </c:pt>
                <c:pt idx="10">
                  <c:v>-772.41464804595944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5-F3C8-4243-BF5B-200471A2688F}"/>
            </c:ext>
          </c:extLst>
        </c:ser>
        <c:ser>
          <c:idx val="214"/>
          <c:order val="2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RESULTS'!$B$217:$L$217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5857.2713475710079</c:v>
                </c:pt>
                <c:pt idx="2">
                  <c:v>7273.4482500177037</c:v>
                </c:pt>
                <c:pt idx="3">
                  <c:v>11304.857656585673</c:v>
                </c:pt>
                <c:pt idx="4">
                  <c:v>10109.222113858421</c:v>
                </c:pt>
                <c:pt idx="5">
                  <c:v>8516.5482535641549</c:v>
                </c:pt>
                <c:pt idx="6">
                  <c:v>9019.1719825061682</c:v>
                </c:pt>
                <c:pt idx="7">
                  <c:v>6712.1733482377804</c:v>
                </c:pt>
                <c:pt idx="8">
                  <c:v>9255.1309724203766</c:v>
                </c:pt>
                <c:pt idx="9">
                  <c:v>12578.605619004404</c:v>
                </c:pt>
                <c:pt idx="10">
                  <c:v>16936.04322542316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6-F3C8-4243-BF5B-200471A2688F}"/>
            </c:ext>
          </c:extLst>
        </c:ser>
        <c:ser>
          <c:idx val="215"/>
          <c:order val="2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RESULTS'!$B$218:$L$218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4437.435835619006</c:v>
                </c:pt>
                <c:pt idx="2">
                  <c:v>189.22276054016857</c:v>
                </c:pt>
                <c:pt idx="3">
                  <c:v>1521.3866549279774</c:v>
                </c:pt>
                <c:pt idx="4">
                  <c:v>4516.8995184740506</c:v>
                </c:pt>
                <c:pt idx="5">
                  <c:v>4430.7920537636201</c:v>
                </c:pt>
                <c:pt idx="6">
                  <c:v>2164.3632146645896</c:v>
                </c:pt>
                <c:pt idx="7">
                  <c:v>2821.7654737858065</c:v>
                </c:pt>
                <c:pt idx="8">
                  <c:v>5148.7493719560807</c:v>
                </c:pt>
                <c:pt idx="9">
                  <c:v>3810.3612565616149</c:v>
                </c:pt>
                <c:pt idx="10">
                  <c:v>1261.778639992056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7-F3C8-4243-BF5B-200471A2688F}"/>
            </c:ext>
          </c:extLst>
        </c:ser>
        <c:ser>
          <c:idx val="216"/>
          <c:order val="2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RESULTS'!$B$219:$L$219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5748.3185820342296</c:v>
                </c:pt>
                <c:pt idx="2">
                  <c:v>11146.925639902998</c:v>
                </c:pt>
                <c:pt idx="3">
                  <c:v>9394.9763466864915</c:v>
                </c:pt>
                <c:pt idx="4">
                  <c:v>13683.950090989063</c:v>
                </c:pt>
                <c:pt idx="5">
                  <c:v>13845.626441854638</c:v>
                </c:pt>
                <c:pt idx="6">
                  <c:v>12215.928723331173</c:v>
                </c:pt>
                <c:pt idx="7">
                  <c:v>13830.159878490598</c:v>
                </c:pt>
                <c:pt idx="8">
                  <c:v>17917.206663633318</c:v>
                </c:pt>
                <c:pt idx="9">
                  <c:v>23463.592660394446</c:v>
                </c:pt>
                <c:pt idx="10">
                  <c:v>39349.242419374103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8-F3C8-4243-BF5B-200471A2688F}"/>
            </c:ext>
          </c:extLst>
        </c:ser>
        <c:ser>
          <c:idx val="217"/>
          <c:order val="2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RESULTS'!$B$220:$L$220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4942.3387773298164</c:v>
                </c:pt>
                <c:pt idx="2">
                  <c:v>3640.6761119064213</c:v>
                </c:pt>
                <c:pt idx="3">
                  <c:v>5081.0500480789397</c:v>
                </c:pt>
                <c:pt idx="4">
                  <c:v>10921.675232112682</c:v>
                </c:pt>
                <c:pt idx="5">
                  <c:v>18186.834305385524</c:v>
                </c:pt>
                <c:pt idx="6">
                  <c:v>23255.979479954851</c:v>
                </c:pt>
                <c:pt idx="7">
                  <c:v>35145.225478148386</c:v>
                </c:pt>
                <c:pt idx="8">
                  <c:v>36408.343261495036</c:v>
                </c:pt>
                <c:pt idx="9">
                  <c:v>30678.840284210499</c:v>
                </c:pt>
                <c:pt idx="10">
                  <c:v>31714.892599654828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9-F3C8-4243-BF5B-200471A2688F}"/>
            </c:ext>
          </c:extLst>
        </c:ser>
        <c:ser>
          <c:idx val="218"/>
          <c:order val="2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RESULTS'!$B$221:$L$221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5578.0166961110262</c:v>
                </c:pt>
                <c:pt idx="2">
                  <c:v>6263.4018952862898</c:v>
                </c:pt>
                <c:pt idx="3">
                  <c:v>6285.8932737422638</c:v>
                </c:pt>
                <c:pt idx="4">
                  <c:v>4668.70162684155</c:v>
                </c:pt>
                <c:pt idx="5">
                  <c:v>4456.748143236422</c:v>
                </c:pt>
                <c:pt idx="6">
                  <c:v>9300.9560281009981</c:v>
                </c:pt>
                <c:pt idx="7">
                  <c:v>8715.6412380029778</c:v>
                </c:pt>
                <c:pt idx="8">
                  <c:v>15392.552013401513</c:v>
                </c:pt>
                <c:pt idx="9">
                  <c:v>13589.193059363912</c:v>
                </c:pt>
                <c:pt idx="10">
                  <c:v>9541.1878673667125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A-F3C8-4243-BF5B-200471A2688F}"/>
            </c:ext>
          </c:extLst>
        </c:ser>
        <c:ser>
          <c:idx val="219"/>
          <c:order val="2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RESULTS'!$B$222:$L$222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6695.652651449007</c:v>
                </c:pt>
                <c:pt idx="2">
                  <c:v>12430.970810415849</c:v>
                </c:pt>
                <c:pt idx="3">
                  <c:v>13662.296620747773</c:v>
                </c:pt>
                <c:pt idx="4">
                  <c:v>18838.612810859977</c:v>
                </c:pt>
                <c:pt idx="5">
                  <c:v>12902.11794273858</c:v>
                </c:pt>
                <c:pt idx="6">
                  <c:v>20927.418592350859</c:v>
                </c:pt>
                <c:pt idx="7">
                  <c:v>14952.851178207638</c:v>
                </c:pt>
                <c:pt idx="8">
                  <c:v>9708.2641974065609</c:v>
                </c:pt>
                <c:pt idx="9">
                  <c:v>14091.890519699627</c:v>
                </c:pt>
                <c:pt idx="10">
                  <c:v>34256.940265556943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B-F3C8-4243-BF5B-200471A2688F}"/>
            </c:ext>
          </c:extLst>
        </c:ser>
        <c:ser>
          <c:idx val="220"/>
          <c:order val="2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RESULTS'!$B$223:$L$223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537.8944354231835</c:v>
                </c:pt>
                <c:pt idx="2">
                  <c:v>219.41057898151666</c:v>
                </c:pt>
                <c:pt idx="3">
                  <c:v>-964.75391652747385</c:v>
                </c:pt>
                <c:pt idx="4">
                  <c:v>21.754686418161327</c:v>
                </c:pt>
                <c:pt idx="5">
                  <c:v>89.309349526743972</c:v>
                </c:pt>
                <c:pt idx="6">
                  <c:v>-570.69623751753761</c:v>
                </c:pt>
                <c:pt idx="7">
                  <c:v>1627.0315905613534</c:v>
                </c:pt>
                <c:pt idx="8">
                  <c:v>6443.7759636322771</c:v>
                </c:pt>
                <c:pt idx="9">
                  <c:v>7317.957164736401</c:v>
                </c:pt>
                <c:pt idx="10">
                  <c:v>7477.9580594262025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C-F3C8-4243-BF5B-200471A2688F}"/>
            </c:ext>
          </c:extLst>
        </c:ser>
        <c:ser>
          <c:idx val="221"/>
          <c:order val="2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RESULTS'!$B$224:$L$224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7581.1728071312991</c:v>
                </c:pt>
                <c:pt idx="2">
                  <c:v>7148.6799175205542</c:v>
                </c:pt>
                <c:pt idx="3">
                  <c:v>12815.474086449172</c:v>
                </c:pt>
                <c:pt idx="4">
                  <c:v>9382.3675472313844</c:v>
                </c:pt>
                <c:pt idx="5">
                  <c:v>12329.346290344725</c:v>
                </c:pt>
                <c:pt idx="6">
                  <c:v>14713.632718484056</c:v>
                </c:pt>
                <c:pt idx="7">
                  <c:v>8995.1208413167715</c:v>
                </c:pt>
                <c:pt idx="8">
                  <c:v>18516.882177518699</c:v>
                </c:pt>
                <c:pt idx="9">
                  <c:v>25437.575751129931</c:v>
                </c:pt>
                <c:pt idx="10">
                  <c:v>28332.470529248683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D-F3C8-4243-BF5B-200471A2688F}"/>
            </c:ext>
          </c:extLst>
        </c:ser>
        <c:ser>
          <c:idx val="222"/>
          <c:order val="2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RESULTS'!$B$225:$L$225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13688.036077492441</c:v>
                </c:pt>
                <c:pt idx="2">
                  <c:v>26814.219427194072</c:v>
                </c:pt>
                <c:pt idx="3">
                  <c:v>30519.611887871026</c:v>
                </c:pt>
                <c:pt idx="4">
                  <c:v>29316.689351115776</c:v>
                </c:pt>
                <c:pt idx="5">
                  <c:v>31461.457656299564</c:v>
                </c:pt>
                <c:pt idx="6">
                  <c:v>41606.606028853617</c:v>
                </c:pt>
                <c:pt idx="7">
                  <c:v>54735.628824951978</c:v>
                </c:pt>
                <c:pt idx="8">
                  <c:v>42489.27205973072</c:v>
                </c:pt>
                <c:pt idx="9">
                  <c:v>56755.679885055644</c:v>
                </c:pt>
                <c:pt idx="10">
                  <c:v>84090.252360594313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E-F3C8-4243-BF5B-200471A2688F}"/>
            </c:ext>
          </c:extLst>
        </c:ser>
        <c:ser>
          <c:idx val="223"/>
          <c:order val="2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RESULTS'!$B$226:$L$226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3498.4954755330018</c:v>
                </c:pt>
                <c:pt idx="2">
                  <c:v>12950.697969155968</c:v>
                </c:pt>
                <c:pt idx="3">
                  <c:v>13252.099034768806</c:v>
                </c:pt>
                <c:pt idx="4">
                  <c:v>14808.714477506168</c:v>
                </c:pt>
                <c:pt idx="5">
                  <c:v>8202.8740545220971</c:v>
                </c:pt>
                <c:pt idx="6">
                  <c:v>10187.708473713576</c:v>
                </c:pt>
                <c:pt idx="7">
                  <c:v>5622.288351006704</c:v>
                </c:pt>
                <c:pt idx="8">
                  <c:v>6217.9970448281274</c:v>
                </c:pt>
                <c:pt idx="9">
                  <c:v>3834.6022493688833</c:v>
                </c:pt>
                <c:pt idx="10">
                  <c:v>4303.0481682842583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F-F3C8-4243-BF5B-200471A2688F}"/>
            </c:ext>
          </c:extLst>
        </c:ser>
        <c:ser>
          <c:idx val="224"/>
          <c:order val="2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RESULTS'!$B$227:$L$227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7419.0361060022224</c:v>
                </c:pt>
                <c:pt idx="2">
                  <c:v>12540.013027939054</c:v>
                </c:pt>
                <c:pt idx="3">
                  <c:v>10668.122944494615</c:v>
                </c:pt>
                <c:pt idx="4">
                  <c:v>23454.252675103609</c:v>
                </c:pt>
                <c:pt idx="5">
                  <c:v>19539.135964265843</c:v>
                </c:pt>
                <c:pt idx="6">
                  <c:v>15262.850352803307</c:v>
                </c:pt>
                <c:pt idx="7">
                  <c:v>15796.213533498729</c:v>
                </c:pt>
                <c:pt idx="8">
                  <c:v>21618.338699187065</c:v>
                </c:pt>
                <c:pt idx="9">
                  <c:v>16256.652118263646</c:v>
                </c:pt>
                <c:pt idx="10">
                  <c:v>11257.207359592829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0-F3C8-4243-BF5B-200471A2688F}"/>
            </c:ext>
          </c:extLst>
        </c:ser>
        <c:ser>
          <c:idx val="225"/>
          <c:order val="2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RESULTS'!$B$228:$L$228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9745.8502900132662</c:v>
                </c:pt>
                <c:pt idx="2">
                  <c:v>15973.590938091158</c:v>
                </c:pt>
                <c:pt idx="3">
                  <c:v>29503.852288744463</c:v>
                </c:pt>
                <c:pt idx="4">
                  <c:v>31877.257508971263</c:v>
                </c:pt>
                <c:pt idx="5">
                  <c:v>41232.673246995531</c:v>
                </c:pt>
                <c:pt idx="6">
                  <c:v>43607.825803543317</c:v>
                </c:pt>
                <c:pt idx="7">
                  <c:v>34579.563159443707</c:v>
                </c:pt>
                <c:pt idx="8">
                  <c:v>37704.720991306262</c:v>
                </c:pt>
                <c:pt idx="9">
                  <c:v>44221.620452645097</c:v>
                </c:pt>
                <c:pt idx="10">
                  <c:v>34363.436951132629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1-F3C8-4243-BF5B-200471A2688F}"/>
            </c:ext>
          </c:extLst>
        </c:ser>
        <c:ser>
          <c:idx val="226"/>
          <c:order val="2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RESULTS'!$B$229:$L$229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11077.257045355633</c:v>
                </c:pt>
                <c:pt idx="2">
                  <c:v>9587.4028132853309</c:v>
                </c:pt>
                <c:pt idx="3">
                  <c:v>15296.223798295927</c:v>
                </c:pt>
                <c:pt idx="4">
                  <c:v>15665.49389805803</c:v>
                </c:pt>
                <c:pt idx="5">
                  <c:v>21714.372808094522</c:v>
                </c:pt>
                <c:pt idx="6">
                  <c:v>26487.189203885624</c:v>
                </c:pt>
                <c:pt idx="7">
                  <c:v>29641.553970361398</c:v>
                </c:pt>
                <c:pt idx="8">
                  <c:v>33461.059506704878</c:v>
                </c:pt>
                <c:pt idx="9">
                  <c:v>45990.134466220625</c:v>
                </c:pt>
                <c:pt idx="10">
                  <c:v>62510.769304741189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2-F3C8-4243-BF5B-200471A2688F}"/>
            </c:ext>
          </c:extLst>
        </c:ser>
        <c:ser>
          <c:idx val="227"/>
          <c:order val="2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RESULTS'!$B$230:$L$230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3694.1682817251021</c:v>
                </c:pt>
                <c:pt idx="2">
                  <c:v>5047.5921403360335</c:v>
                </c:pt>
                <c:pt idx="3">
                  <c:v>5724.3278291596489</c:v>
                </c:pt>
                <c:pt idx="4">
                  <c:v>6015.5316507664029</c:v>
                </c:pt>
                <c:pt idx="5">
                  <c:v>6086.8015182358595</c:v>
                </c:pt>
                <c:pt idx="6">
                  <c:v>5576.4929960465615</c:v>
                </c:pt>
                <c:pt idx="7">
                  <c:v>8249.7468175425493</c:v>
                </c:pt>
                <c:pt idx="8">
                  <c:v>10624.522119252353</c:v>
                </c:pt>
                <c:pt idx="9">
                  <c:v>22741.89382534476</c:v>
                </c:pt>
                <c:pt idx="10">
                  <c:v>31483.587041334475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3-F3C8-4243-BF5B-200471A2688F}"/>
            </c:ext>
          </c:extLst>
        </c:ser>
        <c:ser>
          <c:idx val="228"/>
          <c:order val="2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RESULTS'!$B$231:$L$231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5120.5569042604875</c:v>
                </c:pt>
                <c:pt idx="2">
                  <c:v>4340.7006054195317</c:v>
                </c:pt>
                <c:pt idx="3">
                  <c:v>8063.850656563287</c:v>
                </c:pt>
                <c:pt idx="4">
                  <c:v>10783.180647516125</c:v>
                </c:pt>
                <c:pt idx="5">
                  <c:v>9227.9227457856905</c:v>
                </c:pt>
                <c:pt idx="6">
                  <c:v>11300.615431140719</c:v>
                </c:pt>
                <c:pt idx="7">
                  <c:v>15106.029495393828</c:v>
                </c:pt>
                <c:pt idx="8">
                  <c:v>11542.37460971069</c:v>
                </c:pt>
                <c:pt idx="9">
                  <c:v>16649.054576703609</c:v>
                </c:pt>
                <c:pt idx="10">
                  <c:v>28699.525156886724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4-F3C8-4243-BF5B-200471A2688F}"/>
            </c:ext>
          </c:extLst>
        </c:ser>
        <c:ser>
          <c:idx val="229"/>
          <c:order val="2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RESULTS'!$B$232:$L$232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5165.8004717845979</c:v>
                </c:pt>
                <c:pt idx="2">
                  <c:v>4067.8691489195098</c:v>
                </c:pt>
                <c:pt idx="3">
                  <c:v>4875.3583845539033</c:v>
                </c:pt>
                <c:pt idx="4">
                  <c:v>5806.3103191517603</c:v>
                </c:pt>
                <c:pt idx="5">
                  <c:v>1597.8794945185873</c:v>
                </c:pt>
                <c:pt idx="6">
                  <c:v>2102.7177949575189</c:v>
                </c:pt>
                <c:pt idx="7">
                  <c:v>4692.7815465043786</c:v>
                </c:pt>
                <c:pt idx="8">
                  <c:v>3909.9518556159092</c:v>
                </c:pt>
                <c:pt idx="9">
                  <c:v>3227.7110874407608</c:v>
                </c:pt>
                <c:pt idx="10">
                  <c:v>6765.457449867059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5-F3C8-4243-BF5B-200471A2688F}"/>
            </c:ext>
          </c:extLst>
        </c:ser>
        <c:ser>
          <c:idx val="230"/>
          <c:order val="2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RESULTS'!$B$233:$L$233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6191.9852827717514</c:v>
                </c:pt>
                <c:pt idx="2">
                  <c:v>9566.6072952826726</c:v>
                </c:pt>
                <c:pt idx="3">
                  <c:v>11085.085170146966</c:v>
                </c:pt>
                <c:pt idx="4">
                  <c:v>11293.16076638188</c:v>
                </c:pt>
                <c:pt idx="5">
                  <c:v>8270.8413797339399</c:v>
                </c:pt>
                <c:pt idx="6">
                  <c:v>17397.557975609048</c:v>
                </c:pt>
                <c:pt idx="7">
                  <c:v>16576.070846098683</c:v>
                </c:pt>
                <c:pt idx="8">
                  <c:v>23862.677490750113</c:v>
                </c:pt>
                <c:pt idx="9">
                  <c:v>27199.996555330319</c:v>
                </c:pt>
                <c:pt idx="10">
                  <c:v>30767.442910357524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6-F3C8-4243-BF5B-200471A2688F}"/>
            </c:ext>
          </c:extLst>
        </c:ser>
        <c:ser>
          <c:idx val="231"/>
          <c:order val="2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RESULTS'!$B$234:$L$234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4806.2771307754265</c:v>
                </c:pt>
                <c:pt idx="2">
                  <c:v>9563.6038645703302</c:v>
                </c:pt>
                <c:pt idx="3">
                  <c:v>16993.281781751641</c:v>
                </c:pt>
                <c:pt idx="4">
                  <c:v>22523.811219005966</c:v>
                </c:pt>
                <c:pt idx="5">
                  <c:v>32937.584716465528</c:v>
                </c:pt>
                <c:pt idx="6">
                  <c:v>41582.036936423996</c:v>
                </c:pt>
                <c:pt idx="7">
                  <c:v>59700.733789773309</c:v>
                </c:pt>
                <c:pt idx="8">
                  <c:v>58974.692336913853</c:v>
                </c:pt>
                <c:pt idx="9">
                  <c:v>85141.453999394798</c:v>
                </c:pt>
                <c:pt idx="10">
                  <c:v>95238.742496116261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7-F3C8-4243-BF5B-200471A2688F}"/>
            </c:ext>
          </c:extLst>
        </c:ser>
        <c:ser>
          <c:idx val="232"/>
          <c:order val="2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RESULTS'!$B$235:$L$235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1778.6678039909175</c:v>
                </c:pt>
                <c:pt idx="2">
                  <c:v>4207.5983147166153</c:v>
                </c:pt>
                <c:pt idx="3">
                  <c:v>4454.0717578174681</c:v>
                </c:pt>
                <c:pt idx="4">
                  <c:v>7461.100712389185</c:v>
                </c:pt>
                <c:pt idx="5">
                  <c:v>6194.6333679999952</c:v>
                </c:pt>
                <c:pt idx="6">
                  <c:v>8586.8526163832885</c:v>
                </c:pt>
                <c:pt idx="7">
                  <c:v>7632.661976088204</c:v>
                </c:pt>
                <c:pt idx="8">
                  <c:v>14166.640440368155</c:v>
                </c:pt>
                <c:pt idx="9">
                  <c:v>16198.894046135993</c:v>
                </c:pt>
                <c:pt idx="10">
                  <c:v>18320.242131708255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8-F3C8-4243-BF5B-200471A2688F}"/>
            </c:ext>
          </c:extLst>
        </c:ser>
        <c:ser>
          <c:idx val="233"/>
          <c:order val="2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RESULTS'!$B$236:$L$236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7804.3498470199647</c:v>
                </c:pt>
                <c:pt idx="2">
                  <c:v>4735.2091853832353</c:v>
                </c:pt>
                <c:pt idx="3">
                  <c:v>5301.7902287828329</c:v>
                </c:pt>
                <c:pt idx="4">
                  <c:v>4748.100716882087</c:v>
                </c:pt>
                <c:pt idx="5">
                  <c:v>6781.0565878769448</c:v>
                </c:pt>
                <c:pt idx="6">
                  <c:v>1826.7506587517109</c:v>
                </c:pt>
                <c:pt idx="7">
                  <c:v>2958.8268655181737</c:v>
                </c:pt>
                <c:pt idx="8">
                  <c:v>3670.591260036962</c:v>
                </c:pt>
                <c:pt idx="9">
                  <c:v>8316.6910183831205</c:v>
                </c:pt>
                <c:pt idx="10">
                  <c:v>11726.491416623538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9-F3C8-4243-BF5B-200471A2688F}"/>
            </c:ext>
          </c:extLst>
        </c:ser>
        <c:ser>
          <c:idx val="234"/>
          <c:order val="2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RESULTS'!$B$237:$L$237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9114.4901645989903</c:v>
                </c:pt>
                <c:pt idx="2">
                  <c:v>19740.258856457607</c:v>
                </c:pt>
                <c:pt idx="3">
                  <c:v>14214.201158492462</c:v>
                </c:pt>
                <c:pt idx="4">
                  <c:v>16174.368085865284</c:v>
                </c:pt>
                <c:pt idx="5">
                  <c:v>20182.467987423763</c:v>
                </c:pt>
                <c:pt idx="6">
                  <c:v>28617.542948695518</c:v>
                </c:pt>
                <c:pt idx="7">
                  <c:v>31433.597613171434</c:v>
                </c:pt>
                <c:pt idx="8">
                  <c:v>37293.796640680514</c:v>
                </c:pt>
                <c:pt idx="9">
                  <c:v>25826.571324489058</c:v>
                </c:pt>
                <c:pt idx="10">
                  <c:v>22079.800866826248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A-F3C8-4243-BF5B-200471A2688F}"/>
            </c:ext>
          </c:extLst>
        </c:ser>
        <c:ser>
          <c:idx val="235"/>
          <c:order val="2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RESULTS'!$B$238:$L$238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3586.8603221729427</c:v>
                </c:pt>
                <c:pt idx="2">
                  <c:v>4433.9986053203702</c:v>
                </c:pt>
                <c:pt idx="3">
                  <c:v>2351.1871655656123</c:v>
                </c:pt>
                <c:pt idx="4">
                  <c:v>-158.70534338809921</c:v>
                </c:pt>
                <c:pt idx="5">
                  <c:v>-1171.0366134856949</c:v>
                </c:pt>
                <c:pt idx="6">
                  <c:v>-3063.4651427912568</c:v>
                </c:pt>
                <c:pt idx="7">
                  <c:v>-2805.5925151866331</c:v>
                </c:pt>
                <c:pt idx="8">
                  <c:v>-2930.1561639276147</c:v>
                </c:pt>
                <c:pt idx="9">
                  <c:v>-3551.4592832380022</c:v>
                </c:pt>
                <c:pt idx="10">
                  <c:v>-3467.6079489007184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B-F3C8-4243-BF5B-200471A2688F}"/>
            </c:ext>
          </c:extLst>
        </c:ser>
        <c:ser>
          <c:idx val="236"/>
          <c:order val="2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RESULTS'!$B$239:$L$239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3462.6441345109251</c:v>
                </c:pt>
                <c:pt idx="2">
                  <c:v>1530.0193424919535</c:v>
                </c:pt>
                <c:pt idx="3">
                  <c:v>208.10221059727428</c:v>
                </c:pt>
                <c:pt idx="4">
                  <c:v>1153.3145148307449</c:v>
                </c:pt>
                <c:pt idx="5">
                  <c:v>1004.0043569707996</c:v>
                </c:pt>
                <c:pt idx="6">
                  <c:v>49.598783579491283</c:v>
                </c:pt>
                <c:pt idx="7">
                  <c:v>1411.2471405649821</c:v>
                </c:pt>
                <c:pt idx="8">
                  <c:v>2831.9339134287939</c:v>
                </c:pt>
                <c:pt idx="9">
                  <c:v>3406.4806838511404</c:v>
                </c:pt>
                <c:pt idx="10">
                  <c:v>6704.3775875221454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C-F3C8-4243-BF5B-200471A2688F}"/>
            </c:ext>
          </c:extLst>
        </c:ser>
        <c:ser>
          <c:idx val="237"/>
          <c:order val="2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RESULTS'!$B$240:$L$240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5397.3272991704071</c:v>
                </c:pt>
                <c:pt idx="2">
                  <c:v>3904.2271437011223</c:v>
                </c:pt>
                <c:pt idx="3">
                  <c:v>6730.1789251203318</c:v>
                </c:pt>
                <c:pt idx="4">
                  <c:v>7698.1908173056254</c:v>
                </c:pt>
                <c:pt idx="5">
                  <c:v>10864.834424821134</c:v>
                </c:pt>
                <c:pt idx="6">
                  <c:v>5490.2652354576694</c:v>
                </c:pt>
                <c:pt idx="7">
                  <c:v>5530.5009225870126</c:v>
                </c:pt>
                <c:pt idx="8">
                  <c:v>6532.450178574898</c:v>
                </c:pt>
                <c:pt idx="9">
                  <c:v>2935.238648749837</c:v>
                </c:pt>
                <c:pt idx="10">
                  <c:v>3795.4159091293441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D-F3C8-4243-BF5B-200471A2688F}"/>
            </c:ext>
          </c:extLst>
        </c:ser>
        <c:ser>
          <c:idx val="238"/>
          <c:order val="2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RESULTS'!$B$241:$L$241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7253.8997226639167</c:v>
                </c:pt>
                <c:pt idx="2">
                  <c:v>14267.636907869608</c:v>
                </c:pt>
                <c:pt idx="3">
                  <c:v>8188.3600285971279</c:v>
                </c:pt>
                <c:pt idx="4">
                  <c:v>3741.3953843867821</c:v>
                </c:pt>
                <c:pt idx="5">
                  <c:v>2743.5085490581205</c:v>
                </c:pt>
                <c:pt idx="6">
                  <c:v>3034.702633010791</c:v>
                </c:pt>
                <c:pt idx="7">
                  <c:v>432.99003549043573</c:v>
                </c:pt>
                <c:pt idx="8">
                  <c:v>852.15298212331891</c:v>
                </c:pt>
                <c:pt idx="9">
                  <c:v>483.42734039769493</c:v>
                </c:pt>
                <c:pt idx="10">
                  <c:v>3145.291907582312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E-F3C8-4243-BF5B-200471A2688F}"/>
            </c:ext>
          </c:extLst>
        </c:ser>
        <c:ser>
          <c:idx val="239"/>
          <c:order val="2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RESULTS'!$B$242:$L$242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5204.5037076236677</c:v>
                </c:pt>
                <c:pt idx="2">
                  <c:v>3368.1584376171104</c:v>
                </c:pt>
                <c:pt idx="3">
                  <c:v>8408.2101255691814</c:v>
                </c:pt>
                <c:pt idx="4">
                  <c:v>8356.5397988039858</c:v>
                </c:pt>
                <c:pt idx="5">
                  <c:v>19461.900564961274</c:v>
                </c:pt>
                <c:pt idx="6">
                  <c:v>20041.029047980825</c:v>
                </c:pt>
                <c:pt idx="7">
                  <c:v>19916.890521934849</c:v>
                </c:pt>
                <c:pt idx="8">
                  <c:v>32827.765791855622</c:v>
                </c:pt>
                <c:pt idx="9">
                  <c:v>44249.774212689466</c:v>
                </c:pt>
                <c:pt idx="10">
                  <c:v>45955.152888754958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F-F3C8-4243-BF5B-200471A2688F}"/>
            </c:ext>
          </c:extLst>
        </c:ser>
        <c:ser>
          <c:idx val="240"/>
          <c:order val="2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RESULTS'!$B$243:$L$243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5542.275897221627</c:v>
                </c:pt>
                <c:pt idx="2">
                  <c:v>4125.5778006821129</c:v>
                </c:pt>
                <c:pt idx="3">
                  <c:v>2531.6286150130181</c:v>
                </c:pt>
                <c:pt idx="4">
                  <c:v>6091.6503347382277</c:v>
                </c:pt>
                <c:pt idx="5">
                  <c:v>9306.625658819914</c:v>
                </c:pt>
                <c:pt idx="6">
                  <c:v>13963.377113148934</c:v>
                </c:pt>
                <c:pt idx="7">
                  <c:v>15724.49775706117</c:v>
                </c:pt>
                <c:pt idx="8">
                  <c:v>14421.558562250866</c:v>
                </c:pt>
                <c:pt idx="9">
                  <c:v>19804.180892930297</c:v>
                </c:pt>
                <c:pt idx="10">
                  <c:v>40207.141854761881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0-F3C8-4243-BF5B-200471A2688F}"/>
            </c:ext>
          </c:extLst>
        </c:ser>
        <c:ser>
          <c:idx val="241"/>
          <c:order val="2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RESULTS'!$B$244:$L$244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9057.1646056046229</c:v>
                </c:pt>
                <c:pt idx="2">
                  <c:v>7551.2678558460466</c:v>
                </c:pt>
                <c:pt idx="3">
                  <c:v>8371.7979406676604</c:v>
                </c:pt>
                <c:pt idx="4">
                  <c:v>11962.268834318886</c:v>
                </c:pt>
                <c:pt idx="5">
                  <c:v>11480.351838609708</c:v>
                </c:pt>
                <c:pt idx="6">
                  <c:v>13923.059415610442</c:v>
                </c:pt>
                <c:pt idx="7">
                  <c:v>21884.066622487324</c:v>
                </c:pt>
                <c:pt idx="8">
                  <c:v>29710.905321051861</c:v>
                </c:pt>
                <c:pt idx="9">
                  <c:v>32383.725668674379</c:v>
                </c:pt>
                <c:pt idx="10">
                  <c:v>39009.050075130108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1-F3C8-4243-BF5B-200471A2688F}"/>
            </c:ext>
          </c:extLst>
        </c:ser>
        <c:ser>
          <c:idx val="242"/>
          <c:order val="2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RESULTS'!$B$245:$L$245</c:f>
              <c:numCache>
                <c:formatCode>_-* #,##0_-;\-* #,##0_-;_-* "-"??_-;_-@_-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2-F3C8-4243-BF5B-200471A2688F}"/>
            </c:ext>
          </c:extLst>
        </c:ser>
        <c:ser>
          <c:idx val="243"/>
          <c:order val="243"/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RESULTS'!$B$1:$L$1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5519.2847322564403</c:v>
                </c:pt>
                <c:pt idx="2">
                  <c:v>6869.3034509253521</c:v>
                </c:pt>
                <c:pt idx="3">
                  <c:v>7381.1031492210395</c:v>
                </c:pt>
                <c:pt idx="4">
                  <c:v>8880.3766001897802</c:v>
                </c:pt>
                <c:pt idx="5">
                  <c:v>9311.0424044516076</c:v>
                </c:pt>
                <c:pt idx="6">
                  <c:v>11005.202992160186</c:v>
                </c:pt>
                <c:pt idx="7">
                  <c:v>14336.615687847441</c:v>
                </c:pt>
                <c:pt idx="8">
                  <c:v>16770.619158709676</c:v>
                </c:pt>
                <c:pt idx="9">
                  <c:v>20144.799401790944</c:v>
                </c:pt>
                <c:pt idx="10">
                  <c:v>22793.803219266494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3-F3C8-4243-BF5B-200471A26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789055"/>
        <c:axId val="328798055"/>
      </c:lineChart>
      <c:catAx>
        <c:axId val="328789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98055"/>
        <c:crosses val="autoZero"/>
        <c:auto val="1"/>
        <c:lblAlgn val="ctr"/>
        <c:lblOffset val="100"/>
        <c:noMultiLvlLbl val="0"/>
      </c:catAx>
      <c:valAx>
        <c:axId val="328798055"/>
        <c:scaling>
          <c:orientation val="minMax"/>
          <c:max val="20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8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1"/>
              <a:t>DISTRIBUTION OF TERMINAL YEAR FREE CASH FLOWS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'SIMULATION RESULTS'!$AA$10:$AA$24</c:f>
              <c:numCache>
                <c:formatCode>_-* #,##0_-;\-* #,##0_-;_-* "-"??_-;_-@_-</c:formatCode>
                <c:ptCount val="15"/>
                <c:pt idx="0">
                  <c:v>-10000</c:v>
                </c:pt>
                <c:pt idx="1">
                  <c:v>0</c:v>
                </c:pt>
                <c:pt idx="2">
                  <c:v>20000</c:v>
                </c:pt>
                <c:pt idx="3">
                  <c:v>40000</c:v>
                </c:pt>
                <c:pt idx="4">
                  <c:v>60000</c:v>
                </c:pt>
                <c:pt idx="5">
                  <c:v>80000</c:v>
                </c:pt>
                <c:pt idx="6">
                  <c:v>100000</c:v>
                </c:pt>
                <c:pt idx="7">
                  <c:v>120000</c:v>
                </c:pt>
                <c:pt idx="8">
                  <c:v>140000</c:v>
                </c:pt>
                <c:pt idx="9">
                  <c:v>160000</c:v>
                </c:pt>
                <c:pt idx="10">
                  <c:v>180000</c:v>
                </c:pt>
                <c:pt idx="11">
                  <c:v>200000</c:v>
                </c:pt>
                <c:pt idx="12">
                  <c:v>220000</c:v>
                </c:pt>
                <c:pt idx="13">
                  <c:v>240000</c:v>
                </c:pt>
                <c:pt idx="14">
                  <c:v>260000</c:v>
                </c:pt>
              </c:numCache>
            </c:numRef>
          </c:xVal>
          <c:yVal>
            <c:numRef>
              <c:f>'SIMULATION RESULTS'!$AB$10:$AB$24</c:f>
              <c:numCache>
                <c:formatCode>General</c:formatCode>
                <c:ptCount val="15"/>
                <c:pt idx="0">
                  <c:v>0</c:v>
                </c:pt>
                <c:pt idx="1">
                  <c:v>15</c:v>
                </c:pt>
                <c:pt idx="2">
                  <c:v>93</c:v>
                </c:pt>
                <c:pt idx="3">
                  <c:v>70</c:v>
                </c:pt>
                <c:pt idx="4">
                  <c:v>31</c:v>
                </c:pt>
                <c:pt idx="5">
                  <c:v>13</c:v>
                </c:pt>
                <c:pt idx="6">
                  <c:v>6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B1-4737-8CA0-D9FA78E90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928871"/>
        <c:axId val="327923471"/>
      </c:scatterChart>
      <c:valAx>
        <c:axId val="327928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$'S MILLION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3471"/>
        <c:crosses val="autoZero"/>
        <c:crossBetween val="midCat"/>
      </c:valAx>
      <c:valAx>
        <c:axId val="3279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8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FREEPORT MACMORAN 10 YEAR FREE CASHFLOW SIMULATION</a:t>
            </a:r>
          </a:p>
          <a:p>
            <a:pPr>
              <a:defRPr sz="1600"/>
            </a:pPr>
            <a:r>
              <a:rPr lang="en-GB" sz="1600"/>
              <a:t>BASED ON COPPER PRICE Normally Distributed (5%, 14%)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561975527706926E-2"/>
          <c:y val="0.11109796795762521"/>
          <c:w val="0.87539107611548561"/>
          <c:h val="0.81782417469309554"/>
        </c:manualLayout>
      </c:layout>
      <c:lineChart>
        <c:grouping val="standard"/>
        <c:varyColors val="0"/>
        <c:ser>
          <c:idx val="0"/>
          <c:order val="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RESULTS'!$B$3:$L$3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1931.2672698704473</c:v>
                </c:pt>
                <c:pt idx="2">
                  <c:v>44.80611969255915</c:v>
                </c:pt>
                <c:pt idx="3">
                  <c:v>-208.27736903873847</c:v>
                </c:pt>
                <c:pt idx="4">
                  <c:v>-1905.1487148212227</c:v>
                </c:pt>
                <c:pt idx="5">
                  <c:v>-1994.7770086965129</c:v>
                </c:pt>
                <c:pt idx="6">
                  <c:v>-2752.181883314729</c:v>
                </c:pt>
                <c:pt idx="7">
                  <c:v>-1307.3289262327435</c:v>
                </c:pt>
                <c:pt idx="8">
                  <c:v>-1652.6901749608296</c:v>
                </c:pt>
                <c:pt idx="9">
                  <c:v>-1610.8011867172418</c:v>
                </c:pt>
                <c:pt idx="10">
                  <c:v>-2123.1602857737576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4-4A57-8737-4E0E80552977}"/>
            </c:ext>
          </c:extLst>
        </c:ser>
        <c:ser>
          <c:idx val="1"/>
          <c:order val="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RESULTS'!$B$4:$L$4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2716.8277686233769</c:v>
                </c:pt>
                <c:pt idx="2">
                  <c:v>7521.1298279494204</c:v>
                </c:pt>
                <c:pt idx="3">
                  <c:v>11877.36086048429</c:v>
                </c:pt>
                <c:pt idx="4">
                  <c:v>13192.413696640742</c:v>
                </c:pt>
                <c:pt idx="5">
                  <c:v>14232.873483426549</c:v>
                </c:pt>
                <c:pt idx="6">
                  <c:v>26618.54397911422</c:v>
                </c:pt>
                <c:pt idx="7">
                  <c:v>24353.241879494053</c:v>
                </c:pt>
                <c:pt idx="8">
                  <c:v>39015.277060127097</c:v>
                </c:pt>
                <c:pt idx="9">
                  <c:v>38182.866188319909</c:v>
                </c:pt>
                <c:pt idx="10">
                  <c:v>45640.897970184167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14-4A57-8737-4E0E80552977}"/>
            </c:ext>
          </c:extLst>
        </c:ser>
        <c:ser>
          <c:idx val="2"/>
          <c:order val="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RESULTS'!$B$5:$L$5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7566.8083099560881</c:v>
                </c:pt>
                <c:pt idx="2">
                  <c:v>10120.471071235999</c:v>
                </c:pt>
                <c:pt idx="3">
                  <c:v>13647.626946647346</c:v>
                </c:pt>
                <c:pt idx="4">
                  <c:v>24194.317853625347</c:v>
                </c:pt>
                <c:pt idx="5">
                  <c:v>30391.770521067723</c:v>
                </c:pt>
                <c:pt idx="6">
                  <c:v>28281.917945769637</c:v>
                </c:pt>
                <c:pt idx="7">
                  <c:v>32239.652517348426</c:v>
                </c:pt>
                <c:pt idx="8">
                  <c:v>37060.262568741251</c:v>
                </c:pt>
                <c:pt idx="9">
                  <c:v>51933.555233233128</c:v>
                </c:pt>
                <c:pt idx="10">
                  <c:v>70840.504491828717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14-4A57-8737-4E0E80552977}"/>
            </c:ext>
          </c:extLst>
        </c:ser>
        <c:ser>
          <c:idx val="3"/>
          <c:order val="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RESULTS'!$B$6:$L$6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11392.3672942624</c:v>
                </c:pt>
                <c:pt idx="2">
                  <c:v>15645.152763181108</c:v>
                </c:pt>
                <c:pt idx="3">
                  <c:v>17741.281567123966</c:v>
                </c:pt>
                <c:pt idx="4">
                  <c:v>17461.079082528904</c:v>
                </c:pt>
                <c:pt idx="5">
                  <c:v>14601.346647267856</c:v>
                </c:pt>
                <c:pt idx="6">
                  <c:v>23201.863173099035</c:v>
                </c:pt>
                <c:pt idx="7">
                  <c:v>29495.427464616318</c:v>
                </c:pt>
                <c:pt idx="8">
                  <c:v>20463.799984273122</c:v>
                </c:pt>
                <c:pt idx="9">
                  <c:v>21172.42137430824</c:v>
                </c:pt>
                <c:pt idx="10">
                  <c:v>29858.069848560423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14-4A57-8737-4E0E80552977}"/>
            </c:ext>
          </c:extLst>
        </c:ser>
        <c:ser>
          <c:idx val="4"/>
          <c:order val="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RESULTS'!$B$7:$L$7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3273.9959161815023</c:v>
                </c:pt>
                <c:pt idx="2">
                  <c:v>5465.4061697737598</c:v>
                </c:pt>
                <c:pt idx="3">
                  <c:v>11702.83276632215</c:v>
                </c:pt>
                <c:pt idx="4">
                  <c:v>22507.981091519745</c:v>
                </c:pt>
                <c:pt idx="5">
                  <c:v>18394.741769013886</c:v>
                </c:pt>
                <c:pt idx="6">
                  <c:v>25017.96237538999</c:v>
                </c:pt>
                <c:pt idx="7">
                  <c:v>37343.236187191964</c:v>
                </c:pt>
                <c:pt idx="8">
                  <c:v>37654.795391302039</c:v>
                </c:pt>
                <c:pt idx="9">
                  <c:v>25868.537526652512</c:v>
                </c:pt>
                <c:pt idx="10">
                  <c:v>22771.085921194084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14-4A57-8737-4E0E80552977}"/>
            </c:ext>
          </c:extLst>
        </c:ser>
        <c:ser>
          <c:idx val="5"/>
          <c:order val="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RESULTS'!$B$8:$L$8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5397.0066272983295</c:v>
                </c:pt>
                <c:pt idx="2">
                  <c:v>9807.0860581223169</c:v>
                </c:pt>
                <c:pt idx="3">
                  <c:v>10612.950897591953</c:v>
                </c:pt>
                <c:pt idx="4">
                  <c:v>4217.5207673447894</c:v>
                </c:pt>
                <c:pt idx="5">
                  <c:v>4310.4195232540296</c:v>
                </c:pt>
                <c:pt idx="6">
                  <c:v>4425.6670220382439</c:v>
                </c:pt>
                <c:pt idx="7">
                  <c:v>2002.9480175915924</c:v>
                </c:pt>
                <c:pt idx="8">
                  <c:v>3594.5987997699231</c:v>
                </c:pt>
                <c:pt idx="9">
                  <c:v>7450.2300543991132</c:v>
                </c:pt>
                <c:pt idx="10">
                  <c:v>4465.9883712306892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14-4A57-8737-4E0E80552977}"/>
            </c:ext>
          </c:extLst>
        </c:ser>
        <c:ser>
          <c:idx val="6"/>
          <c:order val="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RESULTS'!$B$9:$L$9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8145.3088283427969</c:v>
                </c:pt>
                <c:pt idx="2">
                  <c:v>10930.607416895693</c:v>
                </c:pt>
                <c:pt idx="3">
                  <c:v>13846.763039318164</c:v>
                </c:pt>
                <c:pt idx="4">
                  <c:v>19904.582502274177</c:v>
                </c:pt>
                <c:pt idx="5">
                  <c:v>24522.205536336103</c:v>
                </c:pt>
                <c:pt idx="6">
                  <c:v>25363.735113934596</c:v>
                </c:pt>
                <c:pt idx="7">
                  <c:v>23796.097402532363</c:v>
                </c:pt>
                <c:pt idx="8">
                  <c:v>25024.455689595543</c:v>
                </c:pt>
                <c:pt idx="9">
                  <c:v>34912.521035642349</c:v>
                </c:pt>
                <c:pt idx="10">
                  <c:v>37348.67775449757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14-4A57-8737-4E0E80552977}"/>
            </c:ext>
          </c:extLst>
        </c:ser>
        <c:ser>
          <c:idx val="7"/>
          <c:order val="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RESULTS'!$B$10:$L$10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8979.6345276798929</c:v>
                </c:pt>
                <c:pt idx="2">
                  <c:v>9757.5210498352426</c:v>
                </c:pt>
                <c:pt idx="3">
                  <c:v>8979.96541112255</c:v>
                </c:pt>
                <c:pt idx="4">
                  <c:v>9226.3393785655699</c:v>
                </c:pt>
                <c:pt idx="5">
                  <c:v>16124.215785120883</c:v>
                </c:pt>
                <c:pt idx="6">
                  <c:v>18614.414141529498</c:v>
                </c:pt>
                <c:pt idx="7">
                  <c:v>21125.185538115104</c:v>
                </c:pt>
                <c:pt idx="8">
                  <c:v>29061.672483815681</c:v>
                </c:pt>
                <c:pt idx="9">
                  <c:v>25908.506584305629</c:v>
                </c:pt>
                <c:pt idx="10">
                  <c:v>36844.317472627343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14-4A57-8737-4E0E80552977}"/>
            </c:ext>
          </c:extLst>
        </c:ser>
        <c:ser>
          <c:idx val="8"/>
          <c:order val="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RESULTS'!$B$11:$L$11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9267.1012706565489</c:v>
                </c:pt>
                <c:pt idx="2">
                  <c:v>10722.319967839052</c:v>
                </c:pt>
                <c:pt idx="3">
                  <c:v>13397.791818874106</c:v>
                </c:pt>
                <c:pt idx="4">
                  <c:v>15347.354108954547</c:v>
                </c:pt>
                <c:pt idx="5">
                  <c:v>11205.510277989224</c:v>
                </c:pt>
                <c:pt idx="6">
                  <c:v>10360.075035521406</c:v>
                </c:pt>
                <c:pt idx="7">
                  <c:v>9912.6865820820531</c:v>
                </c:pt>
                <c:pt idx="8">
                  <c:v>11707.066867908537</c:v>
                </c:pt>
                <c:pt idx="9">
                  <c:v>14740.948207237841</c:v>
                </c:pt>
                <c:pt idx="10">
                  <c:v>21203.557448307685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14-4A57-8737-4E0E80552977}"/>
            </c:ext>
          </c:extLst>
        </c:ser>
        <c:ser>
          <c:idx val="9"/>
          <c:order val="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RESULTS'!$B$12:$L$12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5456.7808232822263</c:v>
                </c:pt>
                <c:pt idx="2">
                  <c:v>4954.7788352610769</c:v>
                </c:pt>
                <c:pt idx="3">
                  <c:v>1502.2129308083058</c:v>
                </c:pt>
                <c:pt idx="4">
                  <c:v>2412.8469557185499</c:v>
                </c:pt>
                <c:pt idx="5">
                  <c:v>1590.0603307279498</c:v>
                </c:pt>
                <c:pt idx="6">
                  <c:v>2916.4396470509182</c:v>
                </c:pt>
                <c:pt idx="7">
                  <c:v>708.44052479075162</c:v>
                </c:pt>
                <c:pt idx="8">
                  <c:v>1822.9526663334436</c:v>
                </c:pt>
                <c:pt idx="9">
                  <c:v>-767.04603204823252</c:v>
                </c:pt>
                <c:pt idx="10">
                  <c:v>198.0934627463339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14-4A57-8737-4E0E80552977}"/>
            </c:ext>
          </c:extLst>
        </c:ser>
        <c:ser>
          <c:idx val="10"/>
          <c:order val="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RESULTS'!$B$13:$L$13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12072.341972975701</c:v>
                </c:pt>
                <c:pt idx="2">
                  <c:v>19903.657230889345</c:v>
                </c:pt>
                <c:pt idx="3">
                  <c:v>7696.3416896920098</c:v>
                </c:pt>
                <c:pt idx="4">
                  <c:v>15909.890645227908</c:v>
                </c:pt>
                <c:pt idx="5">
                  <c:v>9894.4215655780736</c:v>
                </c:pt>
                <c:pt idx="6">
                  <c:v>13984.354541194607</c:v>
                </c:pt>
                <c:pt idx="7">
                  <c:v>19040.732204324573</c:v>
                </c:pt>
                <c:pt idx="8">
                  <c:v>17110.170743062925</c:v>
                </c:pt>
                <c:pt idx="9">
                  <c:v>15624.408933673236</c:v>
                </c:pt>
                <c:pt idx="10">
                  <c:v>19854.415632477692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14-4A57-8737-4E0E80552977}"/>
            </c:ext>
          </c:extLst>
        </c:ser>
        <c:ser>
          <c:idx val="11"/>
          <c:order val="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RESULTS'!$B$14:$L$14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7201.5242591642091</c:v>
                </c:pt>
                <c:pt idx="2">
                  <c:v>7720.9275192910663</c:v>
                </c:pt>
                <c:pt idx="3">
                  <c:v>8500.5858887038266</c:v>
                </c:pt>
                <c:pt idx="4">
                  <c:v>13542.54985667011</c:v>
                </c:pt>
                <c:pt idx="5">
                  <c:v>6742.3334289667746</c:v>
                </c:pt>
                <c:pt idx="6">
                  <c:v>6816.601885062586</c:v>
                </c:pt>
                <c:pt idx="7">
                  <c:v>12947.116355921735</c:v>
                </c:pt>
                <c:pt idx="8">
                  <c:v>8711.2996838388663</c:v>
                </c:pt>
                <c:pt idx="9">
                  <c:v>7685.7416908747182</c:v>
                </c:pt>
                <c:pt idx="10">
                  <c:v>12290.683095971872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14-4A57-8737-4E0E80552977}"/>
            </c:ext>
          </c:extLst>
        </c:ser>
        <c:ser>
          <c:idx val="12"/>
          <c:order val="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RESULTS'!$B$15:$L$15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4934.4218307222345</c:v>
                </c:pt>
                <c:pt idx="2">
                  <c:v>5055.2811729972655</c:v>
                </c:pt>
                <c:pt idx="3">
                  <c:v>3956.3897552778853</c:v>
                </c:pt>
                <c:pt idx="4">
                  <c:v>3630.1723081876562</c:v>
                </c:pt>
                <c:pt idx="5">
                  <c:v>3223.1747843728008</c:v>
                </c:pt>
                <c:pt idx="6">
                  <c:v>6537.9171206357187</c:v>
                </c:pt>
                <c:pt idx="7">
                  <c:v>6810.2256410138052</c:v>
                </c:pt>
                <c:pt idx="8">
                  <c:v>4416.2107471791987</c:v>
                </c:pt>
                <c:pt idx="9">
                  <c:v>5517.9987734582264</c:v>
                </c:pt>
                <c:pt idx="10">
                  <c:v>2207.5524886516641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B14-4A57-8737-4E0E80552977}"/>
            </c:ext>
          </c:extLst>
        </c:ser>
        <c:ser>
          <c:idx val="13"/>
          <c:order val="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RESULTS'!$B$16:$L$16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9253.7972662978882</c:v>
                </c:pt>
                <c:pt idx="2">
                  <c:v>10732.66816616741</c:v>
                </c:pt>
                <c:pt idx="3">
                  <c:v>21198.362120655776</c:v>
                </c:pt>
                <c:pt idx="4">
                  <c:v>30170.971708367011</c:v>
                </c:pt>
                <c:pt idx="5">
                  <c:v>34093.599202255726</c:v>
                </c:pt>
                <c:pt idx="6">
                  <c:v>52980.014520312943</c:v>
                </c:pt>
                <c:pt idx="7">
                  <c:v>61158.092716728497</c:v>
                </c:pt>
                <c:pt idx="8">
                  <c:v>87984.845987398134</c:v>
                </c:pt>
                <c:pt idx="9">
                  <c:v>102439.04536443234</c:v>
                </c:pt>
                <c:pt idx="10">
                  <c:v>140183.41929159799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B14-4A57-8737-4E0E80552977}"/>
            </c:ext>
          </c:extLst>
        </c:ser>
        <c:ser>
          <c:idx val="14"/>
          <c:order val="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RESULTS'!$B$17:$L$17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9757.4730523634862</c:v>
                </c:pt>
                <c:pt idx="2">
                  <c:v>5549.9416480729578</c:v>
                </c:pt>
                <c:pt idx="3">
                  <c:v>11207.46741463233</c:v>
                </c:pt>
                <c:pt idx="4">
                  <c:v>16538.266991989738</c:v>
                </c:pt>
                <c:pt idx="5">
                  <c:v>28803.246312800453</c:v>
                </c:pt>
                <c:pt idx="6">
                  <c:v>34249.901267738125</c:v>
                </c:pt>
                <c:pt idx="7">
                  <c:v>63625.34617992588</c:v>
                </c:pt>
                <c:pt idx="8">
                  <c:v>97497.83749912605</c:v>
                </c:pt>
                <c:pt idx="9">
                  <c:v>191896.2328217836</c:v>
                </c:pt>
                <c:pt idx="10">
                  <c:v>229544.42950867576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B14-4A57-8737-4E0E80552977}"/>
            </c:ext>
          </c:extLst>
        </c:ser>
        <c:ser>
          <c:idx val="15"/>
          <c:order val="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RESULTS'!$B$18:$L$18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5113.0432489043233</c:v>
                </c:pt>
                <c:pt idx="2">
                  <c:v>5957.5373094308943</c:v>
                </c:pt>
                <c:pt idx="3">
                  <c:v>8885.7739143869003</c:v>
                </c:pt>
                <c:pt idx="4">
                  <c:v>6183.783423270339</c:v>
                </c:pt>
                <c:pt idx="5">
                  <c:v>6078.9127326858652</c:v>
                </c:pt>
                <c:pt idx="6">
                  <c:v>8682.5171614949995</c:v>
                </c:pt>
                <c:pt idx="7">
                  <c:v>14271.786520721322</c:v>
                </c:pt>
                <c:pt idx="8">
                  <c:v>23534.482875617796</c:v>
                </c:pt>
                <c:pt idx="9">
                  <c:v>25523.166192359364</c:v>
                </c:pt>
                <c:pt idx="10">
                  <c:v>37137.788720101969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14-4A57-8737-4E0E80552977}"/>
            </c:ext>
          </c:extLst>
        </c:ser>
        <c:ser>
          <c:idx val="16"/>
          <c:order val="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RESULTS'!$B$19:$L$19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9997.5844656070876</c:v>
                </c:pt>
                <c:pt idx="2">
                  <c:v>8773.3364904632454</c:v>
                </c:pt>
                <c:pt idx="3">
                  <c:v>10997.461919706973</c:v>
                </c:pt>
                <c:pt idx="4">
                  <c:v>9901.1595164858154</c:v>
                </c:pt>
                <c:pt idx="5">
                  <c:v>9102.2505192394328</c:v>
                </c:pt>
                <c:pt idx="6">
                  <c:v>19526.482557278137</c:v>
                </c:pt>
                <c:pt idx="7">
                  <c:v>29521.941283067958</c:v>
                </c:pt>
                <c:pt idx="8">
                  <c:v>45079.162206975634</c:v>
                </c:pt>
                <c:pt idx="9">
                  <c:v>49718.713615696724</c:v>
                </c:pt>
                <c:pt idx="10">
                  <c:v>40206.115634950191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B14-4A57-8737-4E0E80552977}"/>
            </c:ext>
          </c:extLst>
        </c:ser>
        <c:ser>
          <c:idx val="17"/>
          <c:order val="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RESULTS'!$B$20:$L$20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4668.5992272420226</c:v>
                </c:pt>
                <c:pt idx="2">
                  <c:v>5154.8669770774522</c:v>
                </c:pt>
                <c:pt idx="3">
                  <c:v>7129.4532213718921</c:v>
                </c:pt>
                <c:pt idx="4">
                  <c:v>12401.138812877758</c:v>
                </c:pt>
                <c:pt idx="5">
                  <c:v>19939.282352641563</c:v>
                </c:pt>
                <c:pt idx="6">
                  <c:v>17157.59723423174</c:v>
                </c:pt>
                <c:pt idx="7">
                  <c:v>24247.765155708683</c:v>
                </c:pt>
                <c:pt idx="8">
                  <c:v>27992.747547619238</c:v>
                </c:pt>
                <c:pt idx="9">
                  <c:v>16958.046880556369</c:v>
                </c:pt>
                <c:pt idx="10">
                  <c:v>15218.59937204824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B14-4A57-8737-4E0E80552977}"/>
            </c:ext>
          </c:extLst>
        </c:ser>
        <c:ser>
          <c:idx val="18"/>
          <c:order val="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RESULTS'!$B$21:$L$21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6375.9610989352532</c:v>
                </c:pt>
                <c:pt idx="2">
                  <c:v>8353.1460792032267</c:v>
                </c:pt>
                <c:pt idx="3">
                  <c:v>5947.6155167073557</c:v>
                </c:pt>
                <c:pt idx="4">
                  <c:v>4814.0157437565686</c:v>
                </c:pt>
                <c:pt idx="5">
                  <c:v>3414.9752197033922</c:v>
                </c:pt>
                <c:pt idx="6">
                  <c:v>3189.5755205615869</c:v>
                </c:pt>
                <c:pt idx="7">
                  <c:v>4420.5079397233003</c:v>
                </c:pt>
                <c:pt idx="8">
                  <c:v>3772.8346991325598</c:v>
                </c:pt>
                <c:pt idx="9">
                  <c:v>4348.4679774480974</c:v>
                </c:pt>
                <c:pt idx="10">
                  <c:v>2513.1152527760505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B14-4A57-8737-4E0E80552977}"/>
            </c:ext>
          </c:extLst>
        </c:ser>
        <c:ser>
          <c:idx val="19"/>
          <c:order val="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RESULTS'!$B$22:$L$22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4302.2675320143735</c:v>
                </c:pt>
                <c:pt idx="2">
                  <c:v>5080.0686995837277</c:v>
                </c:pt>
                <c:pt idx="3">
                  <c:v>5709.2789448441345</c:v>
                </c:pt>
                <c:pt idx="4">
                  <c:v>12123.234276624193</c:v>
                </c:pt>
                <c:pt idx="5">
                  <c:v>16296.730484448359</c:v>
                </c:pt>
                <c:pt idx="6">
                  <c:v>19374.731354992971</c:v>
                </c:pt>
                <c:pt idx="7">
                  <c:v>19657.491111968582</c:v>
                </c:pt>
                <c:pt idx="8">
                  <c:v>23365.404817345934</c:v>
                </c:pt>
                <c:pt idx="9">
                  <c:v>31124.678572166406</c:v>
                </c:pt>
                <c:pt idx="10">
                  <c:v>36532.087713664805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B14-4A57-8737-4E0E80552977}"/>
            </c:ext>
          </c:extLst>
        </c:ser>
        <c:ser>
          <c:idx val="20"/>
          <c:order val="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RESULTS'!$B$23:$L$23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6477.3698768714694</c:v>
                </c:pt>
                <c:pt idx="2">
                  <c:v>8516.1524212629774</c:v>
                </c:pt>
                <c:pt idx="3">
                  <c:v>3232.2842001695535</c:v>
                </c:pt>
                <c:pt idx="4">
                  <c:v>7798.1765361930557</c:v>
                </c:pt>
                <c:pt idx="5">
                  <c:v>8758.0286212352585</c:v>
                </c:pt>
                <c:pt idx="6">
                  <c:v>10984.738625360027</c:v>
                </c:pt>
                <c:pt idx="7">
                  <c:v>10695.314362611613</c:v>
                </c:pt>
                <c:pt idx="8">
                  <c:v>13876.955640832919</c:v>
                </c:pt>
                <c:pt idx="9">
                  <c:v>14827.824244782791</c:v>
                </c:pt>
                <c:pt idx="10">
                  <c:v>19151.880351848347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B14-4A57-8737-4E0E80552977}"/>
            </c:ext>
          </c:extLst>
        </c:ser>
        <c:ser>
          <c:idx val="21"/>
          <c:order val="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RESULTS'!$B$24:$L$24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3086.1447311019847</c:v>
                </c:pt>
                <c:pt idx="2">
                  <c:v>3174.7830208775767</c:v>
                </c:pt>
                <c:pt idx="3">
                  <c:v>6416.5534384416715</c:v>
                </c:pt>
                <c:pt idx="4">
                  <c:v>7810.1421520238218</c:v>
                </c:pt>
                <c:pt idx="5">
                  <c:v>6060.4811941184307</c:v>
                </c:pt>
                <c:pt idx="6">
                  <c:v>10751.114858203444</c:v>
                </c:pt>
                <c:pt idx="7">
                  <c:v>15519.329848387271</c:v>
                </c:pt>
                <c:pt idx="8">
                  <c:v>17639.066897371187</c:v>
                </c:pt>
                <c:pt idx="9">
                  <c:v>21021.710510798668</c:v>
                </c:pt>
                <c:pt idx="10">
                  <c:v>22454.296871217375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B14-4A57-8737-4E0E80552977}"/>
            </c:ext>
          </c:extLst>
        </c:ser>
        <c:ser>
          <c:idx val="22"/>
          <c:order val="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RESULTS'!$B$25:$L$25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6751.8477887652825</c:v>
                </c:pt>
                <c:pt idx="2">
                  <c:v>12840.588134745274</c:v>
                </c:pt>
                <c:pt idx="3">
                  <c:v>18228.137890586084</c:v>
                </c:pt>
                <c:pt idx="4">
                  <c:v>14008.061256018103</c:v>
                </c:pt>
                <c:pt idx="5">
                  <c:v>21197.671965348531</c:v>
                </c:pt>
                <c:pt idx="6">
                  <c:v>21960.107636765948</c:v>
                </c:pt>
                <c:pt idx="7">
                  <c:v>23611.258230135441</c:v>
                </c:pt>
                <c:pt idx="8">
                  <c:v>37396.631160483761</c:v>
                </c:pt>
                <c:pt idx="9">
                  <c:v>21284.137988363716</c:v>
                </c:pt>
                <c:pt idx="10">
                  <c:v>25275.007160199573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B14-4A57-8737-4E0E80552977}"/>
            </c:ext>
          </c:extLst>
        </c:ser>
        <c:ser>
          <c:idx val="23"/>
          <c:order val="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RESULTS'!$B$26:$L$26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10000.373515767091</c:v>
                </c:pt>
                <c:pt idx="2">
                  <c:v>4959.4773582972557</c:v>
                </c:pt>
                <c:pt idx="3">
                  <c:v>3647.4494680229891</c:v>
                </c:pt>
                <c:pt idx="4">
                  <c:v>4102.3171339439377</c:v>
                </c:pt>
                <c:pt idx="5">
                  <c:v>6260.90144370083</c:v>
                </c:pt>
                <c:pt idx="6">
                  <c:v>9883.9399314409729</c:v>
                </c:pt>
                <c:pt idx="7">
                  <c:v>17291.832077564901</c:v>
                </c:pt>
                <c:pt idx="8">
                  <c:v>16739.008272697134</c:v>
                </c:pt>
                <c:pt idx="9">
                  <c:v>20996.264643085855</c:v>
                </c:pt>
                <c:pt idx="10">
                  <c:v>26000.334115642701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B14-4A57-8737-4E0E80552977}"/>
            </c:ext>
          </c:extLst>
        </c:ser>
        <c:ser>
          <c:idx val="24"/>
          <c:order val="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RESULTS'!$B$27:$L$27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3792.9254917734233</c:v>
                </c:pt>
                <c:pt idx="2">
                  <c:v>2785.3590771397148</c:v>
                </c:pt>
                <c:pt idx="3">
                  <c:v>6424.5574883687041</c:v>
                </c:pt>
                <c:pt idx="4">
                  <c:v>8453.7305264774641</c:v>
                </c:pt>
                <c:pt idx="5">
                  <c:v>6958.4192628041328</c:v>
                </c:pt>
                <c:pt idx="6">
                  <c:v>311.53830084130914</c:v>
                </c:pt>
                <c:pt idx="7">
                  <c:v>405.59713695751998</c:v>
                </c:pt>
                <c:pt idx="8">
                  <c:v>3477.6950005051403</c:v>
                </c:pt>
                <c:pt idx="9">
                  <c:v>5158.0429340601786</c:v>
                </c:pt>
                <c:pt idx="10">
                  <c:v>2812.8332192434582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B14-4A57-8737-4E0E80552977}"/>
            </c:ext>
          </c:extLst>
        </c:ser>
        <c:ser>
          <c:idx val="25"/>
          <c:order val="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RESULTS'!$B$28:$L$28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2845.7322542362854</c:v>
                </c:pt>
                <c:pt idx="2">
                  <c:v>3599.0818171380979</c:v>
                </c:pt>
                <c:pt idx="3">
                  <c:v>8567.4694715190853</c:v>
                </c:pt>
                <c:pt idx="4">
                  <c:v>11365.536822792572</c:v>
                </c:pt>
                <c:pt idx="5">
                  <c:v>22463.193331829672</c:v>
                </c:pt>
                <c:pt idx="6">
                  <c:v>27741.365114094977</c:v>
                </c:pt>
                <c:pt idx="7">
                  <c:v>42800.220819840302</c:v>
                </c:pt>
                <c:pt idx="8">
                  <c:v>42118.307236199253</c:v>
                </c:pt>
                <c:pt idx="9">
                  <c:v>35681.929115979714</c:v>
                </c:pt>
                <c:pt idx="10">
                  <c:v>40110.332463410959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B14-4A57-8737-4E0E80552977}"/>
            </c:ext>
          </c:extLst>
        </c:ser>
        <c:ser>
          <c:idx val="26"/>
          <c:order val="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RESULTS'!$B$29:$L$29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2923.6143613168297</c:v>
                </c:pt>
                <c:pt idx="2">
                  <c:v>1977.3921624492514</c:v>
                </c:pt>
                <c:pt idx="3">
                  <c:v>425.3114702913399</c:v>
                </c:pt>
                <c:pt idx="4">
                  <c:v>159.97161529586992</c:v>
                </c:pt>
                <c:pt idx="5">
                  <c:v>147.75483819497458</c:v>
                </c:pt>
                <c:pt idx="6">
                  <c:v>4064.5538618145565</c:v>
                </c:pt>
                <c:pt idx="7">
                  <c:v>5215.8200970306771</c:v>
                </c:pt>
                <c:pt idx="8">
                  <c:v>7221.3884084794954</c:v>
                </c:pt>
                <c:pt idx="9">
                  <c:v>6920.4726237658779</c:v>
                </c:pt>
                <c:pt idx="10">
                  <c:v>10609.732002132951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B14-4A57-8737-4E0E80552977}"/>
            </c:ext>
          </c:extLst>
        </c:ser>
        <c:ser>
          <c:idx val="27"/>
          <c:order val="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RESULTS'!$B$30:$L$30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6789.7281159934373</c:v>
                </c:pt>
                <c:pt idx="2">
                  <c:v>9451.5012700469943</c:v>
                </c:pt>
                <c:pt idx="3">
                  <c:v>5785.8337744445926</c:v>
                </c:pt>
                <c:pt idx="4">
                  <c:v>6537.6337429885534</c:v>
                </c:pt>
                <c:pt idx="5">
                  <c:v>5003.9137570548392</c:v>
                </c:pt>
                <c:pt idx="6">
                  <c:v>6022.5975940146327</c:v>
                </c:pt>
                <c:pt idx="7">
                  <c:v>2008.3744251340622</c:v>
                </c:pt>
                <c:pt idx="8">
                  <c:v>874.11002974238727</c:v>
                </c:pt>
                <c:pt idx="9">
                  <c:v>772.8326736753279</c:v>
                </c:pt>
                <c:pt idx="10">
                  <c:v>-989.10819969213298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B14-4A57-8737-4E0E80552977}"/>
            </c:ext>
          </c:extLst>
        </c:ser>
        <c:ser>
          <c:idx val="28"/>
          <c:order val="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RESULTS'!$B$31:$L$31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4706.4276904846101</c:v>
                </c:pt>
                <c:pt idx="2">
                  <c:v>7112.257983981317</c:v>
                </c:pt>
                <c:pt idx="3">
                  <c:v>4578.6661991051715</c:v>
                </c:pt>
                <c:pt idx="4">
                  <c:v>2917.7110972577848</c:v>
                </c:pt>
                <c:pt idx="5">
                  <c:v>7256.3192636602289</c:v>
                </c:pt>
                <c:pt idx="6">
                  <c:v>4933.8660628667058</c:v>
                </c:pt>
                <c:pt idx="7">
                  <c:v>8264.8640576474463</c:v>
                </c:pt>
                <c:pt idx="8">
                  <c:v>9266.088054523545</c:v>
                </c:pt>
                <c:pt idx="9">
                  <c:v>8724.9082862496452</c:v>
                </c:pt>
                <c:pt idx="10">
                  <c:v>14201.4863167695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B14-4A57-8737-4E0E80552977}"/>
            </c:ext>
          </c:extLst>
        </c:ser>
        <c:ser>
          <c:idx val="29"/>
          <c:order val="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RESULTS'!$B$32:$L$32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1710.5780515606584</c:v>
                </c:pt>
                <c:pt idx="2">
                  <c:v>4985.1444831964636</c:v>
                </c:pt>
                <c:pt idx="3">
                  <c:v>1319.668879383702</c:v>
                </c:pt>
                <c:pt idx="4">
                  <c:v>2705.086068618557</c:v>
                </c:pt>
                <c:pt idx="5">
                  <c:v>6098.9197265012481</c:v>
                </c:pt>
                <c:pt idx="6">
                  <c:v>7962.2468110451991</c:v>
                </c:pt>
                <c:pt idx="7">
                  <c:v>11061.504834852369</c:v>
                </c:pt>
                <c:pt idx="8">
                  <c:v>15208.705444940424</c:v>
                </c:pt>
                <c:pt idx="9">
                  <c:v>20415.706480281533</c:v>
                </c:pt>
                <c:pt idx="10">
                  <c:v>20557.846623393754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B14-4A57-8737-4E0E80552977}"/>
            </c:ext>
          </c:extLst>
        </c:ser>
        <c:ser>
          <c:idx val="30"/>
          <c:order val="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RESULTS'!$B$33:$L$33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3554.0191020393086</c:v>
                </c:pt>
                <c:pt idx="2">
                  <c:v>7492.9972645300986</c:v>
                </c:pt>
                <c:pt idx="3">
                  <c:v>4498.212538591355</c:v>
                </c:pt>
                <c:pt idx="4">
                  <c:v>7342.3257895280367</c:v>
                </c:pt>
                <c:pt idx="5">
                  <c:v>10191.448289718777</c:v>
                </c:pt>
                <c:pt idx="6">
                  <c:v>9956.4451301851113</c:v>
                </c:pt>
                <c:pt idx="7">
                  <c:v>13273.348215604783</c:v>
                </c:pt>
                <c:pt idx="8">
                  <c:v>23881.390142710155</c:v>
                </c:pt>
                <c:pt idx="9">
                  <c:v>19008.23216667063</c:v>
                </c:pt>
                <c:pt idx="10">
                  <c:v>26701.713859997853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B14-4A57-8737-4E0E80552977}"/>
            </c:ext>
          </c:extLst>
        </c:ser>
        <c:ser>
          <c:idx val="31"/>
          <c:order val="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RESULTS'!$B$34:$L$34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8655.5256128403489</c:v>
                </c:pt>
                <c:pt idx="2">
                  <c:v>11838.913859386956</c:v>
                </c:pt>
                <c:pt idx="3">
                  <c:v>13277.604100593326</c:v>
                </c:pt>
                <c:pt idx="4">
                  <c:v>16416.89871509542</c:v>
                </c:pt>
                <c:pt idx="5">
                  <c:v>18930.327775036185</c:v>
                </c:pt>
                <c:pt idx="6">
                  <c:v>30251.225493468177</c:v>
                </c:pt>
                <c:pt idx="7">
                  <c:v>45676.091544607392</c:v>
                </c:pt>
                <c:pt idx="8">
                  <c:v>54227.295819124818</c:v>
                </c:pt>
                <c:pt idx="9">
                  <c:v>60888.339994303227</c:v>
                </c:pt>
                <c:pt idx="10">
                  <c:v>59684.242067802901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B14-4A57-8737-4E0E80552977}"/>
            </c:ext>
          </c:extLst>
        </c:ser>
        <c:ser>
          <c:idx val="32"/>
          <c:order val="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RESULTS'!$B$35:$L$35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7582.6988741398163</c:v>
                </c:pt>
                <c:pt idx="2">
                  <c:v>12846.471530876428</c:v>
                </c:pt>
                <c:pt idx="3">
                  <c:v>14560.133442851464</c:v>
                </c:pt>
                <c:pt idx="4">
                  <c:v>28042.751249124649</c:v>
                </c:pt>
                <c:pt idx="5">
                  <c:v>37944.339907720307</c:v>
                </c:pt>
                <c:pt idx="6">
                  <c:v>67326.587456596171</c:v>
                </c:pt>
                <c:pt idx="7">
                  <c:v>32184.137830645494</c:v>
                </c:pt>
                <c:pt idx="8">
                  <c:v>37017.166948397491</c:v>
                </c:pt>
                <c:pt idx="9">
                  <c:v>22390.614902310768</c:v>
                </c:pt>
                <c:pt idx="10">
                  <c:v>19507.57355172094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B14-4A57-8737-4E0E80552977}"/>
            </c:ext>
          </c:extLst>
        </c:ser>
        <c:ser>
          <c:idx val="33"/>
          <c:order val="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RESULTS'!$B$36:$L$36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4423.617988751208</c:v>
                </c:pt>
                <c:pt idx="2">
                  <c:v>1925.878066330898</c:v>
                </c:pt>
                <c:pt idx="3">
                  <c:v>3178.3472108928363</c:v>
                </c:pt>
                <c:pt idx="4">
                  <c:v>2515.4690329015712</c:v>
                </c:pt>
                <c:pt idx="5">
                  <c:v>2968.9093255089238</c:v>
                </c:pt>
                <c:pt idx="6">
                  <c:v>3448.826798812901</c:v>
                </c:pt>
                <c:pt idx="7">
                  <c:v>-737.68965247800088</c:v>
                </c:pt>
                <c:pt idx="8">
                  <c:v>-368.14571751679614</c:v>
                </c:pt>
                <c:pt idx="9">
                  <c:v>-1707.2065595495014</c:v>
                </c:pt>
                <c:pt idx="10">
                  <c:v>-2185.3678802580262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B14-4A57-8737-4E0E80552977}"/>
            </c:ext>
          </c:extLst>
        </c:ser>
        <c:ser>
          <c:idx val="34"/>
          <c:order val="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RESULTS'!$B$37:$L$37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768.43407532294805</c:v>
                </c:pt>
                <c:pt idx="2">
                  <c:v>812.86804343818494</c:v>
                </c:pt>
                <c:pt idx="3">
                  <c:v>-828.33060193076062</c:v>
                </c:pt>
                <c:pt idx="4">
                  <c:v>-1388.6197846564942</c:v>
                </c:pt>
                <c:pt idx="5">
                  <c:v>-1217.0885587403477</c:v>
                </c:pt>
                <c:pt idx="6">
                  <c:v>-1998.8448489805478</c:v>
                </c:pt>
                <c:pt idx="7">
                  <c:v>-1386.8116619670886</c:v>
                </c:pt>
                <c:pt idx="8">
                  <c:v>-1871.289372151783</c:v>
                </c:pt>
                <c:pt idx="9">
                  <c:v>-2648.7779501489022</c:v>
                </c:pt>
                <c:pt idx="10">
                  <c:v>-2860.9299616091589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B14-4A57-8737-4E0E80552977}"/>
            </c:ext>
          </c:extLst>
        </c:ser>
        <c:ser>
          <c:idx val="35"/>
          <c:order val="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RESULTS'!$B$38:$L$38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4156.8616283122119</c:v>
                </c:pt>
                <c:pt idx="2">
                  <c:v>7701.2114493967365</c:v>
                </c:pt>
                <c:pt idx="3">
                  <c:v>7053.4043709476337</c:v>
                </c:pt>
                <c:pt idx="4">
                  <c:v>4901.6967720768735</c:v>
                </c:pt>
                <c:pt idx="5">
                  <c:v>8527.1143851169309</c:v>
                </c:pt>
                <c:pt idx="6">
                  <c:v>11569.287339637156</c:v>
                </c:pt>
                <c:pt idx="7">
                  <c:v>7097.4977230735385</c:v>
                </c:pt>
                <c:pt idx="8">
                  <c:v>14809.01117699562</c:v>
                </c:pt>
                <c:pt idx="9">
                  <c:v>17908.193098296662</c:v>
                </c:pt>
                <c:pt idx="10">
                  <c:v>33522.48589851951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B14-4A57-8737-4E0E80552977}"/>
            </c:ext>
          </c:extLst>
        </c:ser>
        <c:ser>
          <c:idx val="36"/>
          <c:order val="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RESULTS'!$B$39:$L$39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4850.9121391065783</c:v>
                </c:pt>
                <c:pt idx="2">
                  <c:v>9404.3284844660266</c:v>
                </c:pt>
                <c:pt idx="3">
                  <c:v>19398.653220260818</c:v>
                </c:pt>
                <c:pt idx="4">
                  <c:v>20476.985081184248</c:v>
                </c:pt>
                <c:pt idx="5">
                  <c:v>27447.784443927372</c:v>
                </c:pt>
                <c:pt idx="6">
                  <c:v>36105.335007455629</c:v>
                </c:pt>
                <c:pt idx="7">
                  <c:v>36010.751626491037</c:v>
                </c:pt>
                <c:pt idx="8">
                  <c:v>18683.25881497658</c:v>
                </c:pt>
                <c:pt idx="9">
                  <c:v>19873.892323300352</c:v>
                </c:pt>
                <c:pt idx="10">
                  <c:v>24198.400697854384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B14-4A57-8737-4E0E80552977}"/>
            </c:ext>
          </c:extLst>
        </c:ser>
        <c:ser>
          <c:idx val="37"/>
          <c:order val="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RESULTS'!$B$40:$L$40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5995.4379035133243</c:v>
                </c:pt>
                <c:pt idx="2">
                  <c:v>3543.3873076482314</c:v>
                </c:pt>
                <c:pt idx="3">
                  <c:v>3861.1911088024644</c:v>
                </c:pt>
                <c:pt idx="4">
                  <c:v>3968.9390338175854</c:v>
                </c:pt>
                <c:pt idx="5">
                  <c:v>2861.3009812668224</c:v>
                </c:pt>
                <c:pt idx="6">
                  <c:v>6362.5866369902178</c:v>
                </c:pt>
                <c:pt idx="7">
                  <c:v>12108.459857665901</c:v>
                </c:pt>
                <c:pt idx="8">
                  <c:v>16744.860908517054</c:v>
                </c:pt>
                <c:pt idx="9">
                  <c:v>22250.986185862304</c:v>
                </c:pt>
                <c:pt idx="10">
                  <c:v>25085.894044966946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B14-4A57-8737-4E0E80552977}"/>
            </c:ext>
          </c:extLst>
        </c:ser>
        <c:ser>
          <c:idx val="38"/>
          <c:order val="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RESULTS'!$B$41:$L$41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4690.2105633198116</c:v>
                </c:pt>
                <c:pt idx="2">
                  <c:v>4327.2608461599775</c:v>
                </c:pt>
                <c:pt idx="3">
                  <c:v>5520.6725149288613</c:v>
                </c:pt>
                <c:pt idx="4">
                  <c:v>9871.2040737553834</c:v>
                </c:pt>
                <c:pt idx="5">
                  <c:v>14218.598411562136</c:v>
                </c:pt>
                <c:pt idx="6">
                  <c:v>18965.935042032146</c:v>
                </c:pt>
                <c:pt idx="7">
                  <c:v>36928.147084640041</c:v>
                </c:pt>
                <c:pt idx="8">
                  <c:v>44817.084380925349</c:v>
                </c:pt>
                <c:pt idx="9">
                  <c:v>49864.049877302474</c:v>
                </c:pt>
                <c:pt idx="10">
                  <c:v>74595.478056464737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B14-4A57-8737-4E0E80552977}"/>
            </c:ext>
          </c:extLst>
        </c:ser>
        <c:ser>
          <c:idx val="39"/>
          <c:order val="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RESULTS'!$B$42:$L$42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7298.6727331536822</c:v>
                </c:pt>
                <c:pt idx="2">
                  <c:v>4578.0750838004315</c:v>
                </c:pt>
                <c:pt idx="3">
                  <c:v>8428.9445084708914</c:v>
                </c:pt>
                <c:pt idx="4">
                  <c:v>13236.716961001432</c:v>
                </c:pt>
                <c:pt idx="5">
                  <c:v>17833.014817269432</c:v>
                </c:pt>
                <c:pt idx="6">
                  <c:v>20078.477076874809</c:v>
                </c:pt>
                <c:pt idx="7">
                  <c:v>27207.869587363235</c:v>
                </c:pt>
                <c:pt idx="8">
                  <c:v>38319.594028246043</c:v>
                </c:pt>
                <c:pt idx="9">
                  <c:v>66495.011093862136</c:v>
                </c:pt>
                <c:pt idx="10">
                  <c:v>105506.14506047788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B14-4A57-8737-4E0E80552977}"/>
            </c:ext>
          </c:extLst>
        </c:ser>
        <c:ser>
          <c:idx val="40"/>
          <c:order val="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RESULTS'!$B$43:$L$43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5924.7076400239093</c:v>
                </c:pt>
                <c:pt idx="2">
                  <c:v>10954.475295231339</c:v>
                </c:pt>
                <c:pt idx="3">
                  <c:v>8746.2124521151545</c:v>
                </c:pt>
                <c:pt idx="4">
                  <c:v>18190.640155502642</c:v>
                </c:pt>
                <c:pt idx="5">
                  <c:v>11092.876647595695</c:v>
                </c:pt>
                <c:pt idx="6">
                  <c:v>15317.591376291941</c:v>
                </c:pt>
                <c:pt idx="7">
                  <c:v>25790.22985395843</c:v>
                </c:pt>
                <c:pt idx="8">
                  <c:v>24585.588895111065</c:v>
                </c:pt>
                <c:pt idx="9">
                  <c:v>21926.059498847335</c:v>
                </c:pt>
                <c:pt idx="10">
                  <c:v>15635.172871185419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B14-4A57-8737-4E0E80552977}"/>
            </c:ext>
          </c:extLst>
        </c:ser>
        <c:ser>
          <c:idx val="41"/>
          <c:order val="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RESULTS'!$B$44:$L$44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3123.0290566177391</c:v>
                </c:pt>
                <c:pt idx="2">
                  <c:v>-838.98956925120729</c:v>
                </c:pt>
                <c:pt idx="3">
                  <c:v>-1482.3788990771709</c:v>
                </c:pt>
                <c:pt idx="4">
                  <c:v>-1213.7672096278898</c:v>
                </c:pt>
                <c:pt idx="5">
                  <c:v>-1674.4902531188241</c:v>
                </c:pt>
                <c:pt idx="6">
                  <c:v>-959.52693331701357</c:v>
                </c:pt>
                <c:pt idx="7">
                  <c:v>-528.52601476099062</c:v>
                </c:pt>
                <c:pt idx="8">
                  <c:v>-1723.8665385584022</c:v>
                </c:pt>
                <c:pt idx="9">
                  <c:v>-999.24245984941263</c:v>
                </c:pt>
                <c:pt idx="10">
                  <c:v>-1511.3528593379933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B14-4A57-8737-4E0E80552977}"/>
            </c:ext>
          </c:extLst>
        </c:ser>
        <c:ser>
          <c:idx val="42"/>
          <c:order val="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RESULTS'!$B$45:$L$45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2701.1421703086799</c:v>
                </c:pt>
                <c:pt idx="2">
                  <c:v>2536.0946699434489</c:v>
                </c:pt>
                <c:pt idx="3">
                  <c:v>-759.35728727611877</c:v>
                </c:pt>
                <c:pt idx="4">
                  <c:v>1190.3596576964637</c:v>
                </c:pt>
                <c:pt idx="5">
                  <c:v>1956.8983314564639</c:v>
                </c:pt>
                <c:pt idx="6">
                  <c:v>143.19612788675659</c:v>
                </c:pt>
                <c:pt idx="7">
                  <c:v>-1753.844939461565</c:v>
                </c:pt>
                <c:pt idx="8">
                  <c:v>-2661.3515888954507</c:v>
                </c:pt>
                <c:pt idx="9">
                  <c:v>-2248.606519360012</c:v>
                </c:pt>
                <c:pt idx="10">
                  <c:v>-1564.8099435759323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B14-4A57-8737-4E0E80552977}"/>
            </c:ext>
          </c:extLst>
        </c:ser>
        <c:ser>
          <c:idx val="43"/>
          <c:order val="4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RESULTS'!$B$46:$L$46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995.2436306054833</c:v>
                </c:pt>
                <c:pt idx="2">
                  <c:v>3148.2668690240907</c:v>
                </c:pt>
                <c:pt idx="3">
                  <c:v>1574.0185119681237</c:v>
                </c:pt>
                <c:pt idx="4">
                  <c:v>3586.905181550238</c:v>
                </c:pt>
                <c:pt idx="5">
                  <c:v>3063.6882932248336</c:v>
                </c:pt>
                <c:pt idx="6">
                  <c:v>376.13198929016653</c:v>
                </c:pt>
                <c:pt idx="7">
                  <c:v>2547.9006566373355</c:v>
                </c:pt>
                <c:pt idx="8">
                  <c:v>2625.6451616071599</c:v>
                </c:pt>
                <c:pt idx="9">
                  <c:v>5221.2581544141576</c:v>
                </c:pt>
                <c:pt idx="10">
                  <c:v>4436.4494854341174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B14-4A57-8737-4E0E80552977}"/>
            </c:ext>
          </c:extLst>
        </c:ser>
        <c:ser>
          <c:idx val="44"/>
          <c:order val="4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RESULTS'!$B$47:$L$47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5537.7441243454286</c:v>
                </c:pt>
                <c:pt idx="2">
                  <c:v>6197.1753632705695</c:v>
                </c:pt>
                <c:pt idx="3">
                  <c:v>7002.4452354464502</c:v>
                </c:pt>
                <c:pt idx="4">
                  <c:v>9097.7890131324293</c:v>
                </c:pt>
                <c:pt idx="5">
                  <c:v>12563.190854661942</c:v>
                </c:pt>
                <c:pt idx="6">
                  <c:v>13172.365124570475</c:v>
                </c:pt>
                <c:pt idx="7">
                  <c:v>21055.68675381098</c:v>
                </c:pt>
                <c:pt idx="8">
                  <c:v>20017.79617489806</c:v>
                </c:pt>
                <c:pt idx="9">
                  <c:v>42035.679900027506</c:v>
                </c:pt>
                <c:pt idx="10">
                  <c:v>36228.826408003122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B14-4A57-8737-4E0E80552977}"/>
            </c:ext>
          </c:extLst>
        </c:ser>
        <c:ser>
          <c:idx val="45"/>
          <c:order val="4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RESULTS'!$B$48:$L$48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4696.5008976132722</c:v>
                </c:pt>
                <c:pt idx="2">
                  <c:v>9339.8887336740117</c:v>
                </c:pt>
                <c:pt idx="3">
                  <c:v>11139.54165495638</c:v>
                </c:pt>
                <c:pt idx="4">
                  <c:v>11253.939936439845</c:v>
                </c:pt>
                <c:pt idx="5">
                  <c:v>9701.7563137442066</c:v>
                </c:pt>
                <c:pt idx="6">
                  <c:v>18586.369156792822</c:v>
                </c:pt>
                <c:pt idx="7">
                  <c:v>22524.708597757523</c:v>
                </c:pt>
                <c:pt idx="8">
                  <c:v>24009.972119699447</c:v>
                </c:pt>
                <c:pt idx="9">
                  <c:v>40098.730023376047</c:v>
                </c:pt>
                <c:pt idx="10">
                  <c:v>27358.308062918422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B14-4A57-8737-4E0E80552977}"/>
            </c:ext>
          </c:extLst>
        </c:ser>
        <c:ser>
          <c:idx val="46"/>
          <c:order val="4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RESULTS'!$B$49:$L$49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5034.827945848514</c:v>
                </c:pt>
                <c:pt idx="2">
                  <c:v>6934.5627074954555</c:v>
                </c:pt>
                <c:pt idx="3">
                  <c:v>8818.1357115451046</c:v>
                </c:pt>
                <c:pt idx="4">
                  <c:v>3966.9656191071153</c:v>
                </c:pt>
                <c:pt idx="5">
                  <c:v>5430.0311275473196</c:v>
                </c:pt>
                <c:pt idx="6">
                  <c:v>9388.3054919362603</c:v>
                </c:pt>
                <c:pt idx="7">
                  <c:v>16993.169561788909</c:v>
                </c:pt>
                <c:pt idx="8">
                  <c:v>19768.192576125166</c:v>
                </c:pt>
                <c:pt idx="9">
                  <c:v>24183.006314765964</c:v>
                </c:pt>
                <c:pt idx="10">
                  <c:v>47012.616567789009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B14-4A57-8737-4E0E80552977}"/>
            </c:ext>
          </c:extLst>
        </c:ser>
        <c:ser>
          <c:idx val="47"/>
          <c:order val="4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RESULTS'!$B$50:$L$50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6001.553460259589</c:v>
                </c:pt>
                <c:pt idx="2">
                  <c:v>1625.1391217964947</c:v>
                </c:pt>
                <c:pt idx="3">
                  <c:v>3860.2135091451655</c:v>
                </c:pt>
                <c:pt idx="4">
                  <c:v>4397.5865599382305</c:v>
                </c:pt>
                <c:pt idx="5">
                  <c:v>6706.5457769238783</c:v>
                </c:pt>
                <c:pt idx="6">
                  <c:v>5714.605082108872</c:v>
                </c:pt>
                <c:pt idx="7">
                  <c:v>4912.601315539252</c:v>
                </c:pt>
                <c:pt idx="8">
                  <c:v>5175.6480463084372</c:v>
                </c:pt>
                <c:pt idx="9">
                  <c:v>7576.5760059987297</c:v>
                </c:pt>
                <c:pt idx="10">
                  <c:v>7423.3532525687297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B14-4A57-8737-4E0E80552977}"/>
            </c:ext>
          </c:extLst>
        </c:ser>
        <c:ser>
          <c:idx val="48"/>
          <c:order val="4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RESULTS'!$B$51:$L$51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4862.7123003731995</c:v>
                </c:pt>
                <c:pt idx="2">
                  <c:v>5831.0742711120529</c:v>
                </c:pt>
                <c:pt idx="3">
                  <c:v>7620.2881465838054</c:v>
                </c:pt>
                <c:pt idx="4">
                  <c:v>9948.4965942949366</c:v>
                </c:pt>
                <c:pt idx="5">
                  <c:v>4136.9504682373408</c:v>
                </c:pt>
                <c:pt idx="6">
                  <c:v>5097.4490111844134</c:v>
                </c:pt>
                <c:pt idx="7">
                  <c:v>6843.0630009037031</c:v>
                </c:pt>
                <c:pt idx="8">
                  <c:v>11386.03807764566</c:v>
                </c:pt>
                <c:pt idx="9">
                  <c:v>16805.483552212125</c:v>
                </c:pt>
                <c:pt idx="10">
                  <c:v>15550.973595773903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B14-4A57-8737-4E0E80552977}"/>
            </c:ext>
          </c:extLst>
        </c:ser>
        <c:ser>
          <c:idx val="49"/>
          <c:order val="4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RESULTS'!$B$52:$L$52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6585.4998630231712</c:v>
                </c:pt>
                <c:pt idx="2">
                  <c:v>11741.894133246326</c:v>
                </c:pt>
                <c:pt idx="3">
                  <c:v>7185.8128166363003</c:v>
                </c:pt>
                <c:pt idx="4">
                  <c:v>6273.2847417390803</c:v>
                </c:pt>
                <c:pt idx="5">
                  <c:v>4792.0037744614256</c:v>
                </c:pt>
                <c:pt idx="6">
                  <c:v>7358.2960806398423</c:v>
                </c:pt>
                <c:pt idx="7">
                  <c:v>10398.312557350997</c:v>
                </c:pt>
                <c:pt idx="8">
                  <c:v>7638.1202132288436</c:v>
                </c:pt>
                <c:pt idx="9">
                  <c:v>6452.1469429434492</c:v>
                </c:pt>
                <c:pt idx="10">
                  <c:v>11429.327837938386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B14-4A57-8737-4E0E80552977}"/>
            </c:ext>
          </c:extLst>
        </c:ser>
        <c:ser>
          <c:idx val="50"/>
          <c:order val="5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RESULTS'!$B$53:$L$53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5107.3184243238538</c:v>
                </c:pt>
                <c:pt idx="2">
                  <c:v>6910.5139264732716</c:v>
                </c:pt>
                <c:pt idx="3">
                  <c:v>7101.0465490015795</c:v>
                </c:pt>
                <c:pt idx="4">
                  <c:v>5236.2224251135322</c:v>
                </c:pt>
                <c:pt idx="5">
                  <c:v>5490.6873615497043</c:v>
                </c:pt>
                <c:pt idx="6">
                  <c:v>5095.8899517093232</c:v>
                </c:pt>
                <c:pt idx="7">
                  <c:v>6836.7192351903268</c:v>
                </c:pt>
                <c:pt idx="8">
                  <c:v>12640.06187899808</c:v>
                </c:pt>
                <c:pt idx="9">
                  <c:v>8292.123246043011</c:v>
                </c:pt>
                <c:pt idx="10">
                  <c:v>9407.1505164218306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B14-4A57-8737-4E0E80552977}"/>
            </c:ext>
          </c:extLst>
        </c:ser>
        <c:ser>
          <c:idx val="51"/>
          <c:order val="5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RESULTS'!$B$54:$L$54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14890.284136275535</c:v>
                </c:pt>
                <c:pt idx="2">
                  <c:v>18586.204182561727</c:v>
                </c:pt>
                <c:pt idx="3">
                  <c:v>18107.134590725167</c:v>
                </c:pt>
                <c:pt idx="4">
                  <c:v>26806.388323801133</c:v>
                </c:pt>
                <c:pt idx="5">
                  <c:v>35459.28361903489</c:v>
                </c:pt>
                <c:pt idx="6">
                  <c:v>49764.997806779844</c:v>
                </c:pt>
                <c:pt idx="7">
                  <c:v>93641.322726239872</c:v>
                </c:pt>
                <c:pt idx="8">
                  <c:v>119334.73597428297</c:v>
                </c:pt>
                <c:pt idx="9">
                  <c:v>137644.11593301341</c:v>
                </c:pt>
                <c:pt idx="10">
                  <c:v>181915.64789085576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B14-4A57-8737-4E0E80552977}"/>
            </c:ext>
          </c:extLst>
        </c:ser>
        <c:ser>
          <c:idx val="52"/>
          <c:order val="5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RESULTS'!$B$55:$L$55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1283.160502425224</c:v>
                </c:pt>
                <c:pt idx="2">
                  <c:v>221.87819843827037</c:v>
                </c:pt>
                <c:pt idx="3">
                  <c:v>-1430.527665236169</c:v>
                </c:pt>
                <c:pt idx="4">
                  <c:v>-1267.4578131500143</c:v>
                </c:pt>
                <c:pt idx="5">
                  <c:v>-128.06585980523232</c:v>
                </c:pt>
                <c:pt idx="6">
                  <c:v>106.74253559284352</c:v>
                </c:pt>
                <c:pt idx="7">
                  <c:v>-510.96624789340922</c:v>
                </c:pt>
                <c:pt idx="8">
                  <c:v>-717.20292740316017</c:v>
                </c:pt>
                <c:pt idx="9">
                  <c:v>1707.3834323185847</c:v>
                </c:pt>
                <c:pt idx="10">
                  <c:v>-144.1428307619617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B14-4A57-8737-4E0E80552977}"/>
            </c:ext>
          </c:extLst>
        </c:ser>
        <c:ser>
          <c:idx val="53"/>
          <c:order val="5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RESULTS'!$B$56:$L$56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8450.8358638906629</c:v>
                </c:pt>
                <c:pt idx="2">
                  <c:v>12984.129226701149</c:v>
                </c:pt>
                <c:pt idx="3">
                  <c:v>15934.931119863169</c:v>
                </c:pt>
                <c:pt idx="4">
                  <c:v>16628.364226214719</c:v>
                </c:pt>
                <c:pt idx="5">
                  <c:v>12291.540346039263</c:v>
                </c:pt>
                <c:pt idx="6">
                  <c:v>7174.4532658088883</c:v>
                </c:pt>
                <c:pt idx="7">
                  <c:v>8929.5193226725314</c:v>
                </c:pt>
                <c:pt idx="8">
                  <c:v>11731.006931802147</c:v>
                </c:pt>
                <c:pt idx="9">
                  <c:v>16727.893695864957</c:v>
                </c:pt>
                <c:pt idx="10">
                  <c:v>22386.639795512288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B14-4A57-8737-4E0E80552977}"/>
            </c:ext>
          </c:extLst>
        </c:ser>
        <c:ser>
          <c:idx val="54"/>
          <c:order val="5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RESULTS'!$B$57:$L$57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8252.4765138461553</c:v>
                </c:pt>
                <c:pt idx="2">
                  <c:v>12507.135239656025</c:v>
                </c:pt>
                <c:pt idx="3">
                  <c:v>17654.855942214923</c:v>
                </c:pt>
                <c:pt idx="4">
                  <c:v>14287.762230348781</c:v>
                </c:pt>
                <c:pt idx="5">
                  <c:v>19655.656606402565</c:v>
                </c:pt>
                <c:pt idx="6">
                  <c:v>25136.699519579535</c:v>
                </c:pt>
                <c:pt idx="7">
                  <c:v>35240.956926647872</c:v>
                </c:pt>
                <c:pt idx="8">
                  <c:v>42144.11487218667</c:v>
                </c:pt>
                <c:pt idx="9">
                  <c:v>23682.471253655443</c:v>
                </c:pt>
                <c:pt idx="10">
                  <c:v>22103.289689741196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B14-4A57-8737-4E0E80552977}"/>
            </c:ext>
          </c:extLst>
        </c:ser>
        <c:ser>
          <c:idx val="55"/>
          <c:order val="5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RESULTS'!$B$58:$L$58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7593.4801876484307</c:v>
                </c:pt>
                <c:pt idx="2">
                  <c:v>10153.060988543833</c:v>
                </c:pt>
                <c:pt idx="3">
                  <c:v>17094.336842154145</c:v>
                </c:pt>
                <c:pt idx="4">
                  <c:v>27830.374405094688</c:v>
                </c:pt>
                <c:pt idx="5">
                  <c:v>30597.565468338718</c:v>
                </c:pt>
                <c:pt idx="6">
                  <c:v>41656.377669872854</c:v>
                </c:pt>
                <c:pt idx="7">
                  <c:v>46463.929465135123</c:v>
                </c:pt>
                <c:pt idx="8">
                  <c:v>46369.603507252876</c:v>
                </c:pt>
                <c:pt idx="9">
                  <c:v>47598.37089097243</c:v>
                </c:pt>
                <c:pt idx="10">
                  <c:v>90049.732632749103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B14-4A57-8737-4E0E80552977}"/>
            </c:ext>
          </c:extLst>
        </c:ser>
        <c:ser>
          <c:idx val="56"/>
          <c:order val="5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RESULTS'!$B$59:$L$59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2348.2416975090555</c:v>
                </c:pt>
                <c:pt idx="2">
                  <c:v>3980.335659954133</c:v>
                </c:pt>
                <c:pt idx="3">
                  <c:v>4174.4747278804352</c:v>
                </c:pt>
                <c:pt idx="4">
                  <c:v>12478.927180798837</c:v>
                </c:pt>
                <c:pt idx="5">
                  <c:v>13364.238978505164</c:v>
                </c:pt>
                <c:pt idx="6">
                  <c:v>24306.302561165387</c:v>
                </c:pt>
                <c:pt idx="7">
                  <c:v>20587.040045703954</c:v>
                </c:pt>
                <c:pt idx="8">
                  <c:v>24255.124321264335</c:v>
                </c:pt>
                <c:pt idx="9">
                  <c:v>32662.772421544425</c:v>
                </c:pt>
                <c:pt idx="10">
                  <c:v>30939.891700910543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B14-4A57-8737-4E0E80552977}"/>
            </c:ext>
          </c:extLst>
        </c:ser>
        <c:ser>
          <c:idx val="57"/>
          <c:order val="5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RESULTS'!$B$60:$L$60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4639.0798985121237</c:v>
                </c:pt>
                <c:pt idx="2">
                  <c:v>1422.307406653319</c:v>
                </c:pt>
                <c:pt idx="3">
                  <c:v>455.82644002062443</c:v>
                </c:pt>
                <c:pt idx="4">
                  <c:v>1247.8603806270066</c:v>
                </c:pt>
                <c:pt idx="5">
                  <c:v>-115.81860082348248</c:v>
                </c:pt>
                <c:pt idx="6">
                  <c:v>-798.35844531560406</c:v>
                </c:pt>
                <c:pt idx="7">
                  <c:v>-1920.3900129412532</c:v>
                </c:pt>
                <c:pt idx="8">
                  <c:v>-562.81800801149984</c:v>
                </c:pt>
                <c:pt idx="9">
                  <c:v>-43.407049350554189</c:v>
                </c:pt>
                <c:pt idx="10">
                  <c:v>4041.0734773761069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B14-4A57-8737-4E0E80552977}"/>
            </c:ext>
          </c:extLst>
        </c:ser>
        <c:ser>
          <c:idx val="58"/>
          <c:order val="5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RESULTS'!$B$61:$L$61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2998.4661650129883</c:v>
                </c:pt>
                <c:pt idx="2">
                  <c:v>1086.9743287262891</c:v>
                </c:pt>
                <c:pt idx="3">
                  <c:v>404.08587830062697</c:v>
                </c:pt>
                <c:pt idx="4">
                  <c:v>2651.4840790754643</c:v>
                </c:pt>
                <c:pt idx="5">
                  <c:v>6592.0885117840207</c:v>
                </c:pt>
                <c:pt idx="6">
                  <c:v>11736.878787218227</c:v>
                </c:pt>
                <c:pt idx="7">
                  <c:v>20730.332867924415</c:v>
                </c:pt>
                <c:pt idx="8">
                  <c:v>27194.083406894646</c:v>
                </c:pt>
                <c:pt idx="9">
                  <c:v>33641.686045893191</c:v>
                </c:pt>
                <c:pt idx="10">
                  <c:v>28596.601799577089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B14-4A57-8737-4E0E80552977}"/>
            </c:ext>
          </c:extLst>
        </c:ser>
        <c:ser>
          <c:idx val="59"/>
          <c:order val="5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RESULTS'!$B$62:$L$62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6254.6123826991934</c:v>
                </c:pt>
                <c:pt idx="2">
                  <c:v>15474.377948631758</c:v>
                </c:pt>
                <c:pt idx="3">
                  <c:v>7011.1753688455901</c:v>
                </c:pt>
                <c:pt idx="4">
                  <c:v>10028.009659434247</c:v>
                </c:pt>
                <c:pt idx="5">
                  <c:v>10174.621197973367</c:v>
                </c:pt>
                <c:pt idx="6">
                  <c:v>8389.2031492768256</c:v>
                </c:pt>
                <c:pt idx="7">
                  <c:v>4568.3358328990598</c:v>
                </c:pt>
                <c:pt idx="8">
                  <c:v>8087.7187247221609</c:v>
                </c:pt>
                <c:pt idx="9">
                  <c:v>7702.1996739392362</c:v>
                </c:pt>
                <c:pt idx="10">
                  <c:v>12280.825261268077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B14-4A57-8737-4E0E80552977}"/>
            </c:ext>
          </c:extLst>
        </c:ser>
        <c:ser>
          <c:idx val="60"/>
          <c:order val="6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RESULTS'!$B$63:$L$63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3021.0610588119262</c:v>
                </c:pt>
                <c:pt idx="2">
                  <c:v>7259.0043038544281</c:v>
                </c:pt>
                <c:pt idx="3">
                  <c:v>5283.8746158648282</c:v>
                </c:pt>
                <c:pt idx="4">
                  <c:v>6448.5724895288768</c:v>
                </c:pt>
                <c:pt idx="5">
                  <c:v>13786.157409124698</c:v>
                </c:pt>
                <c:pt idx="6">
                  <c:v>4863.1783801647634</c:v>
                </c:pt>
                <c:pt idx="7">
                  <c:v>8494.0769064798678</c:v>
                </c:pt>
                <c:pt idx="8">
                  <c:v>9467.6055489663631</c:v>
                </c:pt>
                <c:pt idx="9">
                  <c:v>13999.186195602368</c:v>
                </c:pt>
                <c:pt idx="10">
                  <c:v>22506.40118366111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B14-4A57-8737-4E0E80552977}"/>
            </c:ext>
          </c:extLst>
        </c:ser>
        <c:ser>
          <c:idx val="61"/>
          <c:order val="6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RESULTS'!$B$64:$L$64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6595.6186880933637</c:v>
                </c:pt>
                <c:pt idx="2">
                  <c:v>7655.2682958275436</c:v>
                </c:pt>
                <c:pt idx="3">
                  <c:v>9152.8736156511459</c:v>
                </c:pt>
                <c:pt idx="4">
                  <c:v>9358.1874278377618</c:v>
                </c:pt>
                <c:pt idx="5">
                  <c:v>8727.4920872801831</c:v>
                </c:pt>
                <c:pt idx="6">
                  <c:v>9967.871670045397</c:v>
                </c:pt>
                <c:pt idx="7">
                  <c:v>23346.72706311318</c:v>
                </c:pt>
                <c:pt idx="8">
                  <c:v>29647.488297445081</c:v>
                </c:pt>
                <c:pt idx="9">
                  <c:v>22692.851294233235</c:v>
                </c:pt>
                <c:pt idx="10">
                  <c:v>44631.996842011897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B14-4A57-8737-4E0E80552977}"/>
            </c:ext>
          </c:extLst>
        </c:ser>
        <c:ser>
          <c:idx val="62"/>
          <c:order val="6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RESULTS'!$B$65:$L$65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8730.9356235950399</c:v>
                </c:pt>
                <c:pt idx="2">
                  <c:v>8079.2710121227428</c:v>
                </c:pt>
                <c:pt idx="3">
                  <c:v>17552.640629491572</c:v>
                </c:pt>
                <c:pt idx="4">
                  <c:v>29032.701743181751</c:v>
                </c:pt>
                <c:pt idx="5">
                  <c:v>29677.343538609537</c:v>
                </c:pt>
                <c:pt idx="6">
                  <c:v>38386.724285186494</c:v>
                </c:pt>
                <c:pt idx="7">
                  <c:v>53555.434249112172</c:v>
                </c:pt>
                <c:pt idx="8">
                  <c:v>78137.029156430697</c:v>
                </c:pt>
                <c:pt idx="9">
                  <c:v>84408.366659780746</c:v>
                </c:pt>
                <c:pt idx="10">
                  <c:v>109547.92451908912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B14-4A57-8737-4E0E80552977}"/>
            </c:ext>
          </c:extLst>
        </c:ser>
        <c:ser>
          <c:idx val="63"/>
          <c:order val="6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RESULTS'!$B$66:$L$66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5831.4553892918375</c:v>
                </c:pt>
                <c:pt idx="2">
                  <c:v>10495.509598065239</c:v>
                </c:pt>
                <c:pt idx="3">
                  <c:v>13117.74805440638</c:v>
                </c:pt>
                <c:pt idx="4">
                  <c:v>14776.927980098382</c:v>
                </c:pt>
                <c:pt idx="5">
                  <c:v>10444.891115602379</c:v>
                </c:pt>
                <c:pt idx="6">
                  <c:v>15644.229982284578</c:v>
                </c:pt>
                <c:pt idx="7">
                  <c:v>19654.984345285426</c:v>
                </c:pt>
                <c:pt idx="8">
                  <c:v>25215.049052242979</c:v>
                </c:pt>
                <c:pt idx="9">
                  <c:v>30600.361337287817</c:v>
                </c:pt>
                <c:pt idx="10">
                  <c:v>24316.305340821509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B14-4A57-8737-4E0E80552977}"/>
            </c:ext>
          </c:extLst>
        </c:ser>
        <c:ser>
          <c:idx val="64"/>
          <c:order val="6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RESULTS'!$B$67:$L$67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5500.8253401674519</c:v>
                </c:pt>
                <c:pt idx="2">
                  <c:v>8477.0393861152079</c:v>
                </c:pt>
                <c:pt idx="3">
                  <c:v>9857.2394932577117</c:v>
                </c:pt>
                <c:pt idx="4">
                  <c:v>11530.259531407908</c:v>
                </c:pt>
                <c:pt idx="5">
                  <c:v>20290.667454367129</c:v>
                </c:pt>
                <c:pt idx="6">
                  <c:v>28971.823628695092</c:v>
                </c:pt>
                <c:pt idx="7">
                  <c:v>28698.187374787769</c:v>
                </c:pt>
                <c:pt idx="8">
                  <c:v>19021.200575968505</c:v>
                </c:pt>
                <c:pt idx="9">
                  <c:v>21969.192504187144</c:v>
                </c:pt>
                <c:pt idx="10">
                  <c:v>33836.187022187405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B14-4A57-8737-4E0E80552977}"/>
            </c:ext>
          </c:extLst>
        </c:ser>
        <c:ser>
          <c:idx val="65"/>
          <c:order val="6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RESULTS'!$B$68:$L$68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10803.983959271205</c:v>
                </c:pt>
                <c:pt idx="2">
                  <c:v>15974.845187200954</c:v>
                </c:pt>
                <c:pt idx="3">
                  <c:v>15443.806611840133</c:v>
                </c:pt>
                <c:pt idx="4">
                  <c:v>20205.619690163247</c:v>
                </c:pt>
                <c:pt idx="5">
                  <c:v>28919.688718143756</c:v>
                </c:pt>
                <c:pt idx="6">
                  <c:v>41447.535848313615</c:v>
                </c:pt>
                <c:pt idx="7">
                  <c:v>30383.984801662256</c:v>
                </c:pt>
                <c:pt idx="8">
                  <c:v>46427.767281882079</c:v>
                </c:pt>
                <c:pt idx="9">
                  <c:v>57713.588840325596</c:v>
                </c:pt>
                <c:pt idx="10">
                  <c:v>82664.488387167235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B14-4A57-8737-4E0E80552977}"/>
            </c:ext>
          </c:extLst>
        </c:ser>
        <c:ser>
          <c:idx val="66"/>
          <c:order val="6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RESULTS'!$B$69:$L$69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4104.4370309926016</c:v>
                </c:pt>
                <c:pt idx="2">
                  <c:v>9118.1634066443057</c:v>
                </c:pt>
                <c:pt idx="3">
                  <c:v>15884.650630858254</c:v>
                </c:pt>
                <c:pt idx="4">
                  <c:v>24031.436616245614</c:v>
                </c:pt>
                <c:pt idx="5">
                  <c:v>20032.391314288339</c:v>
                </c:pt>
                <c:pt idx="6">
                  <c:v>23146.245051142359</c:v>
                </c:pt>
                <c:pt idx="7">
                  <c:v>21708.093064204913</c:v>
                </c:pt>
                <c:pt idx="8">
                  <c:v>32249.21695841015</c:v>
                </c:pt>
                <c:pt idx="9">
                  <c:v>37835.674688490981</c:v>
                </c:pt>
                <c:pt idx="10">
                  <c:v>42629.881858575005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B14-4A57-8737-4E0E80552977}"/>
            </c:ext>
          </c:extLst>
        </c:ser>
        <c:ser>
          <c:idx val="67"/>
          <c:order val="6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RESULTS'!$B$70:$L$70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2621.0298914356954</c:v>
                </c:pt>
                <c:pt idx="2">
                  <c:v>4385.0887907752331</c:v>
                </c:pt>
                <c:pt idx="3">
                  <c:v>7187.8298119851188</c:v>
                </c:pt>
                <c:pt idx="4">
                  <c:v>10994.989940307814</c:v>
                </c:pt>
                <c:pt idx="5">
                  <c:v>11646.590479161699</c:v>
                </c:pt>
                <c:pt idx="6">
                  <c:v>12615.035354650223</c:v>
                </c:pt>
                <c:pt idx="7">
                  <c:v>14158.957444928819</c:v>
                </c:pt>
                <c:pt idx="8">
                  <c:v>24333.863106705525</c:v>
                </c:pt>
                <c:pt idx="9">
                  <c:v>23064.551665175</c:v>
                </c:pt>
                <c:pt idx="10">
                  <c:v>25422.425504702511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B14-4A57-8737-4E0E80552977}"/>
            </c:ext>
          </c:extLst>
        </c:ser>
        <c:ser>
          <c:idx val="68"/>
          <c:order val="6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RESULTS'!$B$71:$L$71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12861.214980667184</c:v>
                </c:pt>
                <c:pt idx="2">
                  <c:v>8300.5447583654623</c:v>
                </c:pt>
                <c:pt idx="3">
                  <c:v>10148.989001685462</c:v>
                </c:pt>
                <c:pt idx="4">
                  <c:v>12576.265808629512</c:v>
                </c:pt>
                <c:pt idx="5">
                  <c:v>11698.638444802556</c:v>
                </c:pt>
                <c:pt idx="6">
                  <c:v>14773.991254824581</c:v>
                </c:pt>
                <c:pt idx="7">
                  <c:v>25669.720547644545</c:v>
                </c:pt>
                <c:pt idx="8">
                  <c:v>50356.763989003259</c:v>
                </c:pt>
                <c:pt idx="9">
                  <c:v>82574.578919483552</c:v>
                </c:pt>
                <c:pt idx="10">
                  <c:v>105933.26803366574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B14-4A57-8737-4E0E80552977}"/>
            </c:ext>
          </c:extLst>
        </c:ser>
        <c:ser>
          <c:idx val="69"/>
          <c:order val="6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RESULTS'!$B$72:$L$72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11522.90346885828</c:v>
                </c:pt>
                <c:pt idx="2">
                  <c:v>12004.692777845019</c:v>
                </c:pt>
                <c:pt idx="3">
                  <c:v>4307.7683506721023</c:v>
                </c:pt>
                <c:pt idx="4">
                  <c:v>3430.7065784283795</c:v>
                </c:pt>
                <c:pt idx="5">
                  <c:v>5850.7853890571841</c:v>
                </c:pt>
                <c:pt idx="6">
                  <c:v>6584.1244546836588</c:v>
                </c:pt>
                <c:pt idx="7">
                  <c:v>3777.8220327946528</c:v>
                </c:pt>
                <c:pt idx="8">
                  <c:v>6005.6578811396012</c:v>
                </c:pt>
                <c:pt idx="9">
                  <c:v>12437.440580258593</c:v>
                </c:pt>
                <c:pt idx="10">
                  <c:v>17684.597453037848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B14-4A57-8737-4E0E80552977}"/>
            </c:ext>
          </c:extLst>
        </c:ser>
        <c:ser>
          <c:idx val="70"/>
          <c:order val="7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RESULTS'!$B$73:$L$73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3412.3025401301475</c:v>
                </c:pt>
                <c:pt idx="2">
                  <c:v>2394.6448579231146</c:v>
                </c:pt>
                <c:pt idx="3">
                  <c:v>6890.1903721221151</c:v>
                </c:pt>
                <c:pt idx="4">
                  <c:v>7306.4353576081048</c:v>
                </c:pt>
                <c:pt idx="5">
                  <c:v>6151.0961782688664</c:v>
                </c:pt>
                <c:pt idx="6">
                  <c:v>8305.7859493869091</c:v>
                </c:pt>
                <c:pt idx="7">
                  <c:v>9614.2347591346443</c:v>
                </c:pt>
                <c:pt idx="8">
                  <c:v>5050.1428730726111</c:v>
                </c:pt>
                <c:pt idx="9">
                  <c:v>9275.5249071569106</c:v>
                </c:pt>
                <c:pt idx="10">
                  <c:v>22029.949996175037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B14-4A57-8737-4E0E80552977}"/>
            </c:ext>
          </c:extLst>
        </c:ser>
        <c:ser>
          <c:idx val="71"/>
          <c:order val="7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RESULTS'!$B$74:$L$74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10385.982977840846</c:v>
                </c:pt>
                <c:pt idx="2">
                  <c:v>13717.226513517922</c:v>
                </c:pt>
                <c:pt idx="3">
                  <c:v>21488.13796301368</c:v>
                </c:pt>
                <c:pt idx="4">
                  <c:v>18322.020993313516</c:v>
                </c:pt>
                <c:pt idx="5">
                  <c:v>32736.464619230719</c:v>
                </c:pt>
                <c:pt idx="6">
                  <c:v>32194.444094869534</c:v>
                </c:pt>
                <c:pt idx="7">
                  <c:v>27202.945594162655</c:v>
                </c:pt>
                <c:pt idx="8">
                  <c:v>47232.730273264307</c:v>
                </c:pt>
                <c:pt idx="9">
                  <c:v>47790.760646231785</c:v>
                </c:pt>
                <c:pt idx="10">
                  <c:v>58847.692535072638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B14-4A57-8737-4E0E80552977}"/>
            </c:ext>
          </c:extLst>
        </c:ser>
        <c:ser>
          <c:idx val="72"/>
          <c:order val="7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RESULTS'!$B$75:$L$75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11511.362785137637</c:v>
                </c:pt>
                <c:pt idx="2">
                  <c:v>11385.761081389122</c:v>
                </c:pt>
                <c:pt idx="3">
                  <c:v>12908.026195324739</c:v>
                </c:pt>
                <c:pt idx="4">
                  <c:v>20611.485210199051</c:v>
                </c:pt>
                <c:pt idx="5">
                  <c:v>28653.806392120794</c:v>
                </c:pt>
                <c:pt idx="6">
                  <c:v>44122.044078535691</c:v>
                </c:pt>
                <c:pt idx="7">
                  <c:v>77464.774107361925</c:v>
                </c:pt>
                <c:pt idx="8">
                  <c:v>72334.241506522478</c:v>
                </c:pt>
                <c:pt idx="9">
                  <c:v>70120.604456607442</c:v>
                </c:pt>
                <c:pt idx="10">
                  <c:v>90664.847878247921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B14-4A57-8737-4E0E80552977}"/>
            </c:ext>
          </c:extLst>
        </c:ser>
        <c:ser>
          <c:idx val="73"/>
          <c:order val="7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RESULTS'!$B$76:$L$76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12587.01974870951</c:v>
                </c:pt>
                <c:pt idx="2">
                  <c:v>16430.875377438304</c:v>
                </c:pt>
                <c:pt idx="3">
                  <c:v>35313.315976914928</c:v>
                </c:pt>
                <c:pt idx="4">
                  <c:v>39440.442218273383</c:v>
                </c:pt>
                <c:pt idx="5">
                  <c:v>47816.222863624855</c:v>
                </c:pt>
                <c:pt idx="6">
                  <c:v>83953.033688519296</c:v>
                </c:pt>
                <c:pt idx="7">
                  <c:v>91513.863841503393</c:v>
                </c:pt>
                <c:pt idx="8">
                  <c:v>122018.98529125158</c:v>
                </c:pt>
                <c:pt idx="9">
                  <c:v>176978.63549553091</c:v>
                </c:pt>
                <c:pt idx="10">
                  <c:v>166443.19217688311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B14-4A57-8737-4E0E80552977}"/>
            </c:ext>
          </c:extLst>
        </c:ser>
        <c:ser>
          <c:idx val="74"/>
          <c:order val="7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RESULTS'!$B$77:$L$77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6725.730677360938</c:v>
                </c:pt>
                <c:pt idx="2">
                  <c:v>9303.3183843976785</c:v>
                </c:pt>
                <c:pt idx="3">
                  <c:v>11549.46223574049</c:v>
                </c:pt>
                <c:pt idx="4">
                  <c:v>15274.948565583742</c:v>
                </c:pt>
                <c:pt idx="5">
                  <c:v>14395.311945672878</c:v>
                </c:pt>
                <c:pt idx="6">
                  <c:v>12766.677445522102</c:v>
                </c:pt>
                <c:pt idx="7">
                  <c:v>6919.9773499502026</c:v>
                </c:pt>
                <c:pt idx="8">
                  <c:v>9440.4920595817839</c:v>
                </c:pt>
                <c:pt idx="9">
                  <c:v>9754.924331287204</c:v>
                </c:pt>
                <c:pt idx="10">
                  <c:v>16643.373171921405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B14-4A57-8737-4E0E80552977}"/>
            </c:ext>
          </c:extLst>
        </c:ser>
        <c:ser>
          <c:idx val="75"/>
          <c:order val="7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RESULTS'!$B$78:$L$78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7246.7472980431212</c:v>
                </c:pt>
                <c:pt idx="2">
                  <c:v>10834.965615955747</c:v>
                </c:pt>
                <c:pt idx="3">
                  <c:v>8185.5645089711124</c:v>
                </c:pt>
                <c:pt idx="4">
                  <c:v>6576.088090107638</c:v>
                </c:pt>
                <c:pt idx="5">
                  <c:v>8435.9702985115728</c:v>
                </c:pt>
                <c:pt idx="6">
                  <c:v>10445.421171597973</c:v>
                </c:pt>
                <c:pt idx="7">
                  <c:v>12119.518967082255</c:v>
                </c:pt>
                <c:pt idx="8">
                  <c:v>16422.832428919999</c:v>
                </c:pt>
                <c:pt idx="9">
                  <c:v>18003.438758046108</c:v>
                </c:pt>
                <c:pt idx="10">
                  <c:v>24188.504534718013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B14-4A57-8737-4E0E80552977}"/>
            </c:ext>
          </c:extLst>
        </c:ser>
        <c:ser>
          <c:idx val="76"/>
          <c:order val="7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RESULTS'!$B$79:$L$79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13829.819757373349</c:v>
                </c:pt>
                <c:pt idx="2">
                  <c:v>21125.867450384212</c:v>
                </c:pt>
                <c:pt idx="3">
                  <c:v>23416.689519659605</c:v>
                </c:pt>
                <c:pt idx="4">
                  <c:v>38560.342058750706</c:v>
                </c:pt>
                <c:pt idx="5">
                  <c:v>45755.490571387716</c:v>
                </c:pt>
                <c:pt idx="6">
                  <c:v>62473.197433347465</c:v>
                </c:pt>
                <c:pt idx="7">
                  <c:v>84362.649835741104</c:v>
                </c:pt>
                <c:pt idx="8">
                  <c:v>136132.29331191117</c:v>
                </c:pt>
                <c:pt idx="9">
                  <c:v>182199.54949995814</c:v>
                </c:pt>
                <c:pt idx="10">
                  <c:v>201040.00660043623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B14-4A57-8737-4E0E80552977}"/>
            </c:ext>
          </c:extLst>
        </c:ser>
        <c:ser>
          <c:idx val="77"/>
          <c:order val="7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RESULTS'!$B$80:$L$80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6271.3114246882051</c:v>
                </c:pt>
                <c:pt idx="2">
                  <c:v>2121.4028491765075</c:v>
                </c:pt>
                <c:pt idx="3">
                  <c:v>1166.1690430984963</c:v>
                </c:pt>
                <c:pt idx="4">
                  <c:v>1096.4894182799726</c:v>
                </c:pt>
                <c:pt idx="5">
                  <c:v>2005.7657817719692</c:v>
                </c:pt>
                <c:pt idx="6">
                  <c:v>-404.42859013401448</c:v>
                </c:pt>
                <c:pt idx="7">
                  <c:v>881.99048050082911</c:v>
                </c:pt>
                <c:pt idx="8">
                  <c:v>2477.7109791484572</c:v>
                </c:pt>
                <c:pt idx="9">
                  <c:v>5236.4207873732739</c:v>
                </c:pt>
                <c:pt idx="10">
                  <c:v>2387.8035509323263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B14-4A57-8737-4E0E80552977}"/>
            </c:ext>
          </c:extLst>
        </c:ser>
        <c:ser>
          <c:idx val="78"/>
          <c:order val="7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RESULTS'!$B$81:$L$81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8804.4720798890503</c:v>
                </c:pt>
                <c:pt idx="2">
                  <c:v>8674.1615145543001</c:v>
                </c:pt>
                <c:pt idx="3">
                  <c:v>15170.300640043926</c:v>
                </c:pt>
                <c:pt idx="4">
                  <c:v>20055.882883940601</c:v>
                </c:pt>
                <c:pt idx="5">
                  <c:v>29342.15131231791</c:v>
                </c:pt>
                <c:pt idx="6">
                  <c:v>47464.29470425914</c:v>
                </c:pt>
                <c:pt idx="7">
                  <c:v>50536.218284605682</c:v>
                </c:pt>
                <c:pt idx="8">
                  <c:v>44705.858661157836</c:v>
                </c:pt>
                <c:pt idx="9">
                  <c:v>73648.293806355112</c:v>
                </c:pt>
                <c:pt idx="10">
                  <c:v>109103.0214829824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B14-4A57-8737-4E0E80552977}"/>
            </c:ext>
          </c:extLst>
        </c:ser>
        <c:ser>
          <c:idx val="79"/>
          <c:order val="7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RESULTS'!$B$82:$L$82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9399.9153370550885</c:v>
                </c:pt>
                <c:pt idx="2">
                  <c:v>16903.258852866031</c:v>
                </c:pt>
                <c:pt idx="3">
                  <c:v>17591.652415824374</c:v>
                </c:pt>
                <c:pt idx="4">
                  <c:v>16222.82526276878</c:v>
                </c:pt>
                <c:pt idx="5">
                  <c:v>20769.074581852325</c:v>
                </c:pt>
                <c:pt idx="6">
                  <c:v>37409.480486727662</c:v>
                </c:pt>
                <c:pt idx="7">
                  <c:v>30266.073207229172</c:v>
                </c:pt>
                <c:pt idx="8">
                  <c:v>39521.416464108283</c:v>
                </c:pt>
                <c:pt idx="9">
                  <c:v>54440.373554703758</c:v>
                </c:pt>
                <c:pt idx="10">
                  <c:v>75386.571286559774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B14-4A57-8737-4E0E80552977}"/>
            </c:ext>
          </c:extLst>
        </c:ser>
        <c:ser>
          <c:idx val="80"/>
          <c:order val="8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RESULTS'!$B$83:$L$83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7699.5065423824763</c:v>
                </c:pt>
                <c:pt idx="2">
                  <c:v>10594.188431798011</c:v>
                </c:pt>
                <c:pt idx="3">
                  <c:v>6578.9990073956487</c:v>
                </c:pt>
                <c:pt idx="4">
                  <c:v>6455.4285979243996</c:v>
                </c:pt>
                <c:pt idx="5">
                  <c:v>9367.378904976953</c:v>
                </c:pt>
                <c:pt idx="6">
                  <c:v>9605.7852851795124</c:v>
                </c:pt>
                <c:pt idx="7">
                  <c:v>16703.249822462116</c:v>
                </c:pt>
                <c:pt idx="8">
                  <c:v>16112.124532970975</c:v>
                </c:pt>
                <c:pt idx="9">
                  <c:v>16892.87795738475</c:v>
                </c:pt>
                <c:pt idx="10">
                  <c:v>14686.586359425291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B14-4A57-8737-4E0E80552977}"/>
            </c:ext>
          </c:extLst>
        </c:ser>
        <c:ser>
          <c:idx val="81"/>
          <c:order val="8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RESULTS'!$B$84:$L$84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5975.3784253268605</c:v>
                </c:pt>
                <c:pt idx="2">
                  <c:v>3426.1132181570347</c:v>
                </c:pt>
                <c:pt idx="3">
                  <c:v>2292.3416778770834</c:v>
                </c:pt>
                <c:pt idx="4">
                  <c:v>8033.4260120429408</c:v>
                </c:pt>
                <c:pt idx="5">
                  <c:v>10442.949280825715</c:v>
                </c:pt>
                <c:pt idx="6">
                  <c:v>11760.739748696116</c:v>
                </c:pt>
                <c:pt idx="7">
                  <c:v>18401.038174690482</c:v>
                </c:pt>
                <c:pt idx="8">
                  <c:v>37576.435447829368</c:v>
                </c:pt>
                <c:pt idx="9">
                  <c:v>38564.671935795719</c:v>
                </c:pt>
                <c:pt idx="10">
                  <c:v>44748.155376674898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B14-4A57-8737-4E0E80552977}"/>
            </c:ext>
          </c:extLst>
        </c:ser>
        <c:ser>
          <c:idx val="82"/>
          <c:order val="8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RESULTS'!$B$85:$L$85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2745.661751432106</c:v>
                </c:pt>
                <c:pt idx="2">
                  <c:v>5563.5049590308954</c:v>
                </c:pt>
                <c:pt idx="3">
                  <c:v>1672.9684159161861</c:v>
                </c:pt>
                <c:pt idx="4">
                  <c:v>4879.6155847951286</c:v>
                </c:pt>
                <c:pt idx="5">
                  <c:v>6101.7458681225053</c:v>
                </c:pt>
                <c:pt idx="6">
                  <c:v>4658.9675715789617</c:v>
                </c:pt>
                <c:pt idx="7">
                  <c:v>3597.2002709217986</c:v>
                </c:pt>
                <c:pt idx="8">
                  <c:v>7579.9203462888217</c:v>
                </c:pt>
                <c:pt idx="9">
                  <c:v>23528.422136898567</c:v>
                </c:pt>
                <c:pt idx="10">
                  <c:v>22816.520517338904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B14-4A57-8737-4E0E80552977}"/>
            </c:ext>
          </c:extLst>
        </c:ser>
        <c:ser>
          <c:idx val="83"/>
          <c:order val="8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RESULTS'!$B$86:$L$86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9348.897732876183</c:v>
                </c:pt>
                <c:pt idx="2">
                  <c:v>12767.349430025457</c:v>
                </c:pt>
                <c:pt idx="3">
                  <c:v>13095.012050236015</c:v>
                </c:pt>
                <c:pt idx="4">
                  <c:v>13765.084205118816</c:v>
                </c:pt>
                <c:pt idx="5">
                  <c:v>11826.649867389291</c:v>
                </c:pt>
                <c:pt idx="6">
                  <c:v>12192.319342829913</c:v>
                </c:pt>
                <c:pt idx="7">
                  <c:v>15006.919637726503</c:v>
                </c:pt>
                <c:pt idx="8">
                  <c:v>19737.681108415327</c:v>
                </c:pt>
                <c:pt idx="9">
                  <c:v>27784.658370813479</c:v>
                </c:pt>
                <c:pt idx="10">
                  <c:v>30380.831146993463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B14-4A57-8737-4E0E80552977}"/>
            </c:ext>
          </c:extLst>
        </c:ser>
        <c:ser>
          <c:idx val="84"/>
          <c:order val="8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RESULTS'!$B$87:$L$87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3063.7289151493187</c:v>
                </c:pt>
                <c:pt idx="2">
                  <c:v>2872.3634571117736</c:v>
                </c:pt>
                <c:pt idx="3">
                  <c:v>1547.8559043558234</c:v>
                </c:pt>
                <c:pt idx="4">
                  <c:v>916.6184262504421</c:v>
                </c:pt>
                <c:pt idx="5">
                  <c:v>683.49465056293593</c:v>
                </c:pt>
                <c:pt idx="6">
                  <c:v>782.04563507377952</c:v>
                </c:pt>
                <c:pt idx="7">
                  <c:v>2412.4666155017048</c:v>
                </c:pt>
                <c:pt idx="8">
                  <c:v>4217.615636989387</c:v>
                </c:pt>
                <c:pt idx="9">
                  <c:v>5830.3641133472629</c:v>
                </c:pt>
                <c:pt idx="10">
                  <c:v>6065.9082784539551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B14-4A57-8737-4E0E80552977}"/>
            </c:ext>
          </c:extLst>
        </c:ser>
        <c:ser>
          <c:idx val="85"/>
          <c:order val="8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RESULTS'!$B$88:$L$88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10105.984065803332</c:v>
                </c:pt>
                <c:pt idx="2">
                  <c:v>4749.3033323697127</c:v>
                </c:pt>
                <c:pt idx="3">
                  <c:v>4550.860315783797</c:v>
                </c:pt>
                <c:pt idx="4">
                  <c:v>5382.0652915759601</c:v>
                </c:pt>
                <c:pt idx="5">
                  <c:v>8148.8022560568861</c:v>
                </c:pt>
                <c:pt idx="6">
                  <c:v>9390.5539551993825</c:v>
                </c:pt>
                <c:pt idx="7">
                  <c:v>11422.708980966947</c:v>
                </c:pt>
                <c:pt idx="8">
                  <c:v>11349.307039253976</c:v>
                </c:pt>
                <c:pt idx="9">
                  <c:v>11380.499227107675</c:v>
                </c:pt>
                <c:pt idx="10">
                  <c:v>13075.006089066548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B14-4A57-8737-4E0E80552977}"/>
            </c:ext>
          </c:extLst>
        </c:ser>
        <c:ser>
          <c:idx val="86"/>
          <c:order val="8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RESULTS'!$B$89:$L$89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3337.2351814505319</c:v>
                </c:pt>
                <c:pt idx="2">
                  <c:v>4536.6461270551299</c:v>
                </c:pt>
                <c:pt idx="3">
                  <c:v>9518.4949598060211</c:v>
                </c:pt>
                <c:pt idx="4">
                  <c:v>14340.856924028449</c:v>
                </c:pt>
                <c:pt idx="5">
                  <c:v>15192.995524961909</c:v>
                </c:pt>
                <c:pt idx="6">
                  <c:v>30607.059824664284</c:v>
                </c:pt>
                <c:pt idx="7">
                  <c:v>51632.035559237142</c:v>
                </c:pt>
                <c:pt idx="8">
                  <c:v>82991.224065109011</c:v>
                </c:pt>
                <c:pt idx="9">
                  <c:v>85879.722997561985</c:v>
                </c:pt>
                <c:pt idx="10">
                  <c:v>61008.351152673873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B14-4A57-8737-4E0E80552977}"/>
            </c:ext>
          </c:extLst>
        </c:ser>
        <c:ser>
          <c:idx val="87"/>
          <c:order val="8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RESULTS'!$B$90:$L$90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5195.0111904289297</c:v>
                </c:pt>
                <c:pt idx="2">
                  <c:v>5010.1263735844332</c:v>
                </c:pt>
                <c:pt idx="3">
                  <c:v>2771.3801298447179</c:v>
                </c:pt>
                <c:pt idx="4">
                  <c:v>2162.8123331069828</c:v>
                </c:pt>
                <c:pt idx="5">
                  <c:v>-343.37986931045725</c:v>
                </c:pt>
                <c:pt idx="6">
                  <c:v>2047.543601674297</c:v>
                </c:pt>
                <c:pt idx="7">
                  <c:v>5348.0667799092917</c:v>
                </c:pt>
                <c:pt idx="8">
                  <c:v>8632.8682148215248</c:v>
                </c:pt>
                <c:pt idx="9">
                  <c:v>17132.509782332272</c:v>
                </c:pt>
                <c:pt idx="10">
                  <c:v>16292.462980690325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B14-4A57-8737-4E0E80552977}"/>
            </c:ext>
          </c:extLst>
        </c:ser>
        <c:ser>
          <c:idx val="88"/>
          <c:order val="8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RESULTS'!$B$91:$L$91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6029.2719774107227</c:v>
                </c:pt>
                <c:pt idx="2">
                  <c:v>5559.8577109472153</c:v>
                </c:pt>
                <c:pt idx="3">
                  <c:v>5469.8496559561954</c:v>
                </c:pt>
                <c:pt idx="4">
                  <c:v>7704.7196394894781</c:v>
                </c:pt>
                <c:pt idx="5">
                  <c:v>9040.850669994732</c:v>
                </c:pt>
                <c:pt idx="6">
                  <c:v>12889.650986543467</c:v>
                </c:pt>
                <c:pt idx="7">
                  <c:v>16744.881724809977</c:v>
                </c:pt>
                <c:pt idx="8">
                  <c:v>21957.136214500482</c:v>
                </c:pt>
                <c:pt idx="9">
                  <c:v>20653.149727741675</c:v>
                </c:pt>
                <c:pt idx="10">
                  <c:v>38857.128133431586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B14-4A57-8737-4E0E80552977}"/>
            </c:ext>
          </c:extLst>
        </c:ser>
        <c:ser>
          <c:idx val="89"/>
          <c:order val="8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RESULTS'!$B$92:$L$92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6953.159053279418</c:v>
                </c:pt>
                <c:pt idx="2">
                  <c:v>7650.8593836455657</c:v>
                </c:pt>
                <c:pt idx="3">
                  <c:v>12675.062702726995</c:v>
                </c:pt>
                <c:pt idx="4">
                  <c:v>17750.585067642209</c:v>
                </c:pt>
                <c:pt idx="5">
                  <c:v>18900.295005875985</c:v>
                </c:pt>
                <c:pt idx="6">
                  <c:v>27636.656286690624</c:v>
                </c:pt>
                <c:pt idx="7">
                  <c:v>21994.947976631403</c:v>
                </c:pt>
                <c:pt idx="8">
                  <c:v>22429.454542454503</c:v>
                </c:pt>
                <c:pt idx="9">
                  <c:v>27473.722434899362</c:v>
                </c:pt>
                <c:pt idx="10">
                  <c:v>46071.585236529747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B14-4A57-8737-4E0E80552977}"/>
            </c:ext>
          </c:extLst>
        </c:ser>
        <c:ser>
          <c:idx val="90"/>
          <c:order val="9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RESULTS'!$B$93:$L$93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7903.2013668948512</c:v>
                </c:pt>
                <c:pt idx="2">
                  <c:v>9152.7110882757024</c:v>
                </c:pt>
                <c:pt idx="3">
                  <c:v>6520.0191916390359</c:v>
                </c:pt>
                <c:pt idx="4">
                  <c:v>2946.6900097973339</c:v>
                </c:pt>
                <c:pt idx="5">
                  <c:v>3234.4263594696222</c:v>
                </c:pt>
                <c:pt idx="6">
                  <c:v>895.34532860507261</c:v>
                </c:pt>
                <c:pt idx="7">
                  <c:v>401.36013875455228</c:v>
                </c:pt>
                <c:pt idx="8">
                  <c:v>2640.7418148351671</c:v>
                </c:pt>
                <c:pt idx="9">
                  <c:v>2862.2520101953041</c:v>
                </c:pt>
                <c:pt idx="10">
                  <c:v>4069.414304216747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B14-4A57-8737-4E0E80552977}"/>
            </c:ext>
          </c:extLst>
        </c:ser>
        <c:ser>
          <c:idx val="91"/>
          <c:order val="9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RESULTS'!$B$94:$L$94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8277.0163203552911</c:v>
                </c:pt>
                <c:pt idx="2">
                  <c:v>10386.532468404212</c:v>
                </c:pt>
                <c:pt idx="3">
                  <c:v>16567.772590523742</c:v>
                </c:pt>
                <c:pt idx="4">
                  <c:v>21248.4676366438</c:v>
                </c:pt>
                <c:pt idx="5">
                  <c:v>20002.179335479777</c:v>
                </c:pt>
                <c:pt idx="6">
                  <c:v>15107.693472432889</c:v>
                </c:pt>
                <c:pt idx="7">
                  <c:v>14401.444854973561</c:v>
                </c:pt>
                <c:pt idx="8">
                  <c:v>25457.596024710107</c:v>
                </c:pt>
                <c:pt idx="9">
                  <c:v>23704.651961430103</c:v>
                </c:pt>
                <c:pt idx="10">
                  <c:v>20060.299865787634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B14-4A57-8737-4E0E80552977}"/>
            </c:ext>
          </c:extLst>
        </c:ser>
        <c:ser>
          <c:idx val="92"/>
          <c:order val="9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RESULTS'!$B$95:$L$95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4797.3368684071065</c:v>
                </c:pt>
                <c:pt idx="2">
                  <c:v>3539.5497057326093</c:v>
                </c:pt>
                <c:pt idx="3">
                  <c:v>951.95321860079639</c:v>
                </c:pt>
                <c:pt idx="4">
                  <c:v>3444.0219277343085</c:v>
                </c:pt>
                <c:pt idx="5">
                  <c:v>7743.3303065530654</c:v>
                </c:pt>
                <c:pt idx="6">
                  <c:v>7319.3754999801313</c:v>
                </c:pt>
                <c:pt idx="7">
                  <c:v>5808.8618117592869</c:v>
                </c:pt>
                <c:pt idx="8">
                  <c:v>-353.14924874883764</c:v>
                </c:pt>
                <c:pt idx="9">
                  <c:v>-434.00006778918396</c:v>
                </c:pt>
                <c:pt idx="10">
                  <c:v>811.28227381330998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B14-4A57-8737-4E0E80552977}"/>
            </c:ext>
          </c:extLst>
        </c:ser>
        <c:ser>
          <c:idx val="93"/>
          <c:order val="9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RESULTS'!$B$96:$L$96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5472.6130536874243</c:v>
                </c:pt>
                <c:pt idx="2">
                  <c:v>4989.8134084815356</c:v>
                </c:pt>
                <c:pt idx="3">
                  <c:v>3953.2001939040165</c:v>
                </c:pt>
                <c:pt idx="4">
                  <c:v>2400.7541227954434</c:v>
                </c:pt>
                <c:pt idx="5">
                  <c:v>2620.7061685712897</c:v>
                </c:pt>
                <c:pt idx="6">
                  <c:v>4042.9829781400022</c:v>
                </c:pt>
                <c:pt idx="7">
                  <c:v>2240.8497458266629</c:v>
                </c:pt>
                <c:pt idx="8">
                  <c:v>3181.6502477944759</c:v>
                </c:pt>
                <c:pt idx="9">
                  <c:v>4359.4564371380293</c:v>
                </c:pt>
                <c:pt idx="10">
                  <c:v>9008.3529346070918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B14-4A57-8737-4E0E80552977}"/>
            </c:ext>
          </c:extLst>
        </c:ser>
        <c:ser>
          <c:idx val="94"/>
          <c:order val="9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RESULTS'!$B$97:$L$97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7708.5078541018993</c:v>
                </c:pt>
                <c:pt idx="2">
                  <c:v>13135.21530671803</c:v>
                </c:pt>
                <c:pt idx="3">
                  <c:v>3363.9380386709709</c:v>
                </c:pt>
                <c:pt idx="4">
                  <c:v>5175.8752120216959</c:v>
                </c:pt>
                <c:pt idx="5">
                  <c:v>7495.0381980189031</c:v>
                </c:pt>
                <c:pt idx="6">
                  <c:v>16715.751388805322</c:v>
                </c:pt>
                <c:pt idx="7">
                  <c:v>29001.181584661885</c:v>
                </c:pt>
                <c:pt idx="8">
                  <c:v>38634.974105733731</c:v>
                </c:pt>
                <c:pt idx="9">
                  <c:v>46495.533917845351</c:v>
                </c:pt>
                <c:pt idx="10">
                  <c:v>68992.829650818909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B14-4A57-8737-4E0E80552977}"/>
            </c:ext>
          </c:extLst>
        </c:ser>
        <c:ser>
          <c:idx val="95"/>
          <c:order val="9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RESULTS'!$B$98:$L$98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5594.5476899291971</c:v>
                </c:pt>
                <c:pt idx="2">
                  <c:v>8769.5857174530993</c:v>
                </c:pt>
                <c:pt idx="3">
                  <c:v>4296.0699620527848</c:v>
                </c:pt>
                <c:pt idx="4">
                  <c:v>5301.0510118511756</c:v>
                </c:pt>
                <c:pt idx="5">
                  <c:v>7651.419081926515</c:v>
                </c:pt>
                <c:pt idx="6">
                  <c:v>8865.4924814788064</c:v>
                </c:pt>
                <c:pt idx="7">
                  <c:v>5489.2727687985353</c:v>
                </c:pt>
                <c:pt idx="8">
                  <c:v>8237.9856623591022</c:v>
                </c:pt>
                <c:pt idx="9">
                  <c:v>13717.113308154032</c:v>
                </c:pt>
                <c:pt idx="10">
                  <c:v>16619.771519061338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B14-4A57-8737-4E0E80552977}"/>
            </c:ext>
          </c:extLst>
        </c:ser>
        <c:ser>
          <c:idx val="96"/>
          <c:order val="9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RESULTS'!$B$99:$L$99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10611.089238340261</c:v>
                </c:pt>
                <c:pt idx="2">
                  <c:v>11693.640909688344</c:v>
                </c:pt>
                <c:pt idx="3">
                  <c:v>18771.973851584233</c:v>
                </c:pt>
                <c:pt idx="4">
                  <c:v>25253.191921565307</c:v>
                </c:pt>
                <c:pt idx="5">
                  <c:v>29772.348773337289</c:v>
                </c:pt>
                <c:pt idx="6">
                  <c:v>32504.945168956736</c:v>
                </c:pt>
                <c:pt idx="7">
                  <c:v>49182.935011867412</c:v>
                </c:pt>
                <c:pt idx="8">
                  <c:v>37324.002351694951</c:v>
                </c:pt>
                <c:pt idx="9">
                  <c:v>69891.132109138038</c:v>
                </c:pt>
                <c:pt idx="10">
                  <c:v>61506.399386755991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B14-4A57-8737-4E0E80552977}"/>
            </c:ext>
          </c:extLst>
        </c:ser>
        <c:ser>
          <c:idx val="97"/>
          <c:order val="9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RESULTS'!$B$100:$L$100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5174.7432744076741</c:v>
                </c:pt>
                <c:pt idx="2">
                  <c:v>5849.9922146681711</c:v>
                </c:pt>
                <c:pt idx="3">
                  <c:v>9246.5946874941874</c:v>
                </c:pt>
                <c:pt idx="4">
                  <c:v>17478.79403311438</c:v>
                </c:pt>
                <c:pt idx="5">
                  <c:v>18693.190113718891</c:v>
                </c:pt>
                <c:pt idx="6">
                  <c:v>27065.425065758605</c:v>
                </c:pt>
                <c:pt idx="7">
                  <c:v>37172.443999022529</c:v>
                </c:pt>
                <c:pt idx="8">
                  <c:v>32060.429917720139</c:v>
                </c:pt>
                <c:pt idx="9">
                  <c:v>37257.383198644362</c:v>
                </c:pt>
                <c:pt idx="10">
                  <c:v>46231.622494068761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B14-4A57-8737-4E0E80552977}"/>
            </c:ext>
          </c:extLst>
        </c:ser>
        <c:ser>
          <c:idx val="98"/>
          <c:order val="9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RESULTS'!$B$101:$L$101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3267.1768095641255</c:v>
                </c:pt>
                <c:pt idx="2">
                  <c:v>4570.0095022408987</c:v>
                </c:pt>
                <c:pt idx="3">
                  <c:v>7260.0877600954555</c:v>
                </c:pt>
                <c:pt idx="4">
                  <c:v>9364.730716262924</c:v>
                </c:pt>
                <c:pt idx="5">
                  <c:v>12458.71053691845</c:v>
                </c:pt>
                <c:pt idx="6">
                  <c:v>12195.58095024907</c:v>
                </c:pt>
                <c:pt idx="7">
                  <c:v>16086.984402232323</c:v>
                </c:pt>
                <c:pt idx="8">
                  <c:v>16796.377408902299</c:v>
                </c:pt>
                <c:pt idx="9">
                  <c:v>23405.595940481366</c:v>
                </c:pt>
                <c:pt idx="10">
                  <c:v>46369.669908546792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B14-4A57-8737-4E0E80552977}"/>
            </c:ext>
          </c:extLst>
        </c:ser>
        <c:ser>
          <c:idx val="99"/>
          <c:order val="9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RESULTS'!$B$102:$L$102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2087.1516076906692</c:v>
                </c:pt>
                <c:pt idx="2">
                  <c:v>2416.5443028015543</c:v>
                </c:pt>
                <c:pt idx="3">
                  <c:v>2824.2049639162078</c:v>
                </c:pt>
                <c:pt idx="4">
                  <c:v>3915.5882327643812</c:v>
                </c:pt>
                <c:pt idx="5">
                  <c:v>10905.462739328017</c:v>
                </c:pt>
                <c:pt idx="6">
                  <c:v>15099.987919653551</c:v>
                </c:pt>
                <c:pt idx="7">
                  <c:v>20909.428294337355</c:v>
                </c:pt>
                <c:pt idx="8">
                  <c:v>24950.547371908156</c:v>
                </c:pt>
                <c:pt idx="9">
                  <c:v>23244.097148811776</c:v>
                </c:pt>
                <c:pt idx="10">
                  <c:v>15159.682801379855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B14-4A57-8737-4E0E80552977}"/>
            </c:ext>
          </c:extLst>
        </c:ser>
        <c:ser>
          <c:idx val="100"/>
          <c:order val="10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RESULTS'!$B$103:$L$103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2729.4588327340234</c:v>
                </c:pt>
                <c:pt idx="2">
                  <c:v>2511.7965606767511</c:v>
                </c:pt>
                <c:pt idx="3">
                  <c:v>3479.770770500103</c:v>
                </c:pt>
                <c:pt idx="4">
                  <c:v>2181.0524301159885</c:v>
                </c:pt>
                <c:pt idx="5">
                  <c:v>2272.3051396167293</c:v>
                </c:pt>
                <c:pt idx="6">
                  <c:v>1492.9715135966244</c:v>
                </c:pt>
                <c:pt idx="7">
                  <c:v>2149.1886296071552</c:v>
                </c:pt>
                <c:pt idx="8">
                  <c:v>1302.7663026545224</c:v>
                </c:pt>
                <c:pt idx="9">
                  <c:v>4061.9435338588428</c:v>
                </c:pt>
                <c:pt idx="10">
                  <c:v>4346.6627676899698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BB14-4A57-8737-4E0E80552977}"/>
            </c:ext>
          </c:extLst>
        </c:ser>
        <c:ser>
          <c:idx val="101"/>
          <c:order val="10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RESULTS'!$B$104:$L$104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1815.5051748459</c:v>
                </c:pt>
                <c:pt idx="2">
                  <c:v>1723.8707368423065</c:v>
                </c:pt>
                <c:pt idx="3">
                  <c:v>3608.2920340111787</c:v>
                </c:pt>
                <c:pt idx="4">
                  <c:v>3833.0269483250759</c:v>
                </c:pt>
                <c:pt idx="5">
                  <c:v>3401.6278305984915</c:v>
                </c:pt>
                <c:pt idx="6">
                  <c:v>8789.0894665817887</c:v>
                </c:pt>
                <c:pt idx="7">
                  <c:v>6218.7272523191623</c:v>
                </c:pt>
                <c:pt idx="8">
                  <c:v>7285.1922594929329</c:v>
                </c:pt>
                <c:pt idx="9">
                  <c:v>3337.3539824016898</c:v>
                </c:pt>
                <c:pt idx="10">
                  <c:v>4657.0954385608275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B14-4A57-8737-4E0E80552977}"/>
            </c:ext>
          </c:extLst>
        </c:ser>
        <c:ser>
          <c:idx val="102"/>
          <c:order val="10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RESULTS'!$B$105:$L$105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5045.4598022951031</c:v>
                </c:pt>
                <c:pt idx="2">
                  <c:v>2820.9625357996019</c:v>
                </c:pt>
                <c:pt idx="3">
                  <c:v>2821.62842830312</c:v>
                </c:pt>
                <c:pt idx="4">
                  <c:v>9007.8967229417194</c:v>
                </c:pt>
                <c:pt idx="5">
                  <c:v>16934.992253264667</c:v>
                </c:pt>
                <c:pt idx="6">
                  <c:v>33429.742306132066</c:v>
                </c:pt>
                <c:pt idx="7">
                  <c:v>21086.705525824214</c:v>
                </c:pt>
                <c:pt idx="8">
                  <c:v>23025.00876686121</c:v>
                </c:pt>
                <c:pt idx="9">
                  <c:v>17088.344108753128</c:v>
                </c:pt>
                <c:pt idx="10">
                  <c:v>23412.474985785353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BB14-4A57-8737-4E0E80552977}"/>
            </c:ext>
          </c:extLst>
        </c:ser>
        <c:ser>
          <c:idx val="103"/>
          <c:order val="10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RESULTS'!$B$106:$L$106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8488.6611541449529</c:v>
                </c:pt>
                <c:pt idx="2">
                  <c:v>11268.273688826777</c:v>
                </c:pt>
                <c:pt idx="3">
                  <c:v>11046.350154003463</c:v>
                </c:pt>
                <c:pt idx="4">
                  <c:v>18346.357672221846</c:v>
                </c:pt>
                <c:pt idx="5">
                  <c:v>21898.505710987847</c:v>
                </c:pt>
                <c:pt idx="6">
                  <c:v>27986.132660308114</c:v>
                </c:pt>
                <c:pt idx="7">
                  <c:v>42967.249861533543</c:v>
                </c:pt>
                <c:pt idx="8">
                  <c:v>53832.002365444758</c:v>
                </c:pt>
                <c:pt idx="9">
                  <c:v>73389.975045981773</c:v>
                </c:pt>
                <c:pt idx="10">
                  <c:v>65368.075432874801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BB14-4A57-8737-4E0E80552977}"/>
            </c:ext>
          </c:extLst>
        </c:ser>
        <c:ser>
          <c:idx val="104"/>
          <c:order val="10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RESULTS'!$B$107:$L$107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9699.1071614297707</c:v>
                </c:pt>
                <c:pt idx="2">
                  <c:v>4256.445913670852</c:v>
                </c:pt>
                <c:pt idx="3">
                  <c:v>5289.3079525618832</c:v>
                </c:pt>
                <c:pt idx="4">
                  <c:v>10828.317338762155</c:v>
                </c:pt>
                <c:pt idx="5">
                  <c:v>10864.487122639912</c:v>
                </c:pt>
                <c:pt idx="6">
                  <c:v>14053.34754825108</c:v>
                </c:pt>
                <c:pt idx="7">
                  <c:v>17196.728786790205</c:v>
                </c:pt>
                <c:pt idx="8">
                  <c:v>19817.497762438936</c:v>
                </c:pt>
                <c:pt idx="9">
                  <c:v>38151.546632596837</c:v>
                </c:pt>
                <c:pt idx="10">
                  <c:v>64468.141139510903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BB14-4A57-8737-4E0E80552977}"/>
            </c:ext>
          </c:extLst>
        </c:ser>
        <c:ser>
          <c:idx val="105"/>
          <c:order val="10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RESULTS'!$B$108:$L$108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7510.8358830308025</c:v>
                </c:pt>
                <c:pt idx="2">
                  <c:v>9361.8142675429062</c:v>
                </c:pt>
                <c:pt idx="3">
                  <c:v>15633.772931099593</c:v>
                </c:pt>
                <c:pt idx="4">
                  <c:v>22838.802819340559</c:v>
                </c:pt>
                <c:pt idx="5">
                  <c:v>13710.420549099563</c:v>
                </c:pt>
                <c:pt idx="6">
                  <c:v>13302.907648116747</c:v>
                </c:pt>
                <c:pt idx="7">
                  <c:v>24656.089447168346</c:v>
                </c:pt>
                <c:pt idx="8">
                  <c:v>31572.446960022578</c:v>
                </c:pt>
                <c:pt idx="9">
                  <c:v>52648.509451495323</c:v>
                </c:pt>
                <c:pt idx="10">
                  <c:v>45901.256091858661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BB14-4A57-8737-4E0E80552977}"/>
            </c:ext>
          </c:extLst>
        </c:ser>
        <c:ser>
          <c:idx val="106"/>
          <c:order val="10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RESULTS'!$B$109:$L$109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3143.6257231829604</c:v>
                </c:pt>
                <c:pt idx="2">
                  <c:v>5329.1250779242164</c:v>
                </c:pt>
                <c:pt idx="3">
                  <c:v>10108.997926567507</c:v>
                </c:pt>
                <c:pt idx="4">
                  <c:v>18679.779612570885</c:v>
                </c:pt>
                <c:pt idx="5">
                  <c:v>17015.891421984452</c:v>
                </c:pt>
                <c:pt idx="6">
                  <c:v>11590.305047858206</c:v>
                </c:pt>
                <c:pt idx="7">
                  <c:v>16131.467809490954</c:v>
                </c:pt>
                <c:pt idx="8">
                  <c:v>13322.742570604463</c:v>
                </c:pt>
                <c:pt idx="9">
                  <c:v>15805.761854531574</c:v>
                </c:pt>
                <c:pt idx="10">
                  <c:v>17754.691877112211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BB14-4A57-8737-4E0E80552977}"/>
            </c:ext>
          </c:extLst>
        </c:ser>
        <c:ser>
          <c:idx val="107"/>
          <c:order val="10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RESULTS'!$B$110:$L$110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4697.492901057587</c:v>
                </c:pt>
                <c:pt idx="2">
                  <c:v>8720.2838775434866</c:v>
                </c:pt>
                <c:pt idx="3">
                  <c:v>8580.9404478911474</c:v>
                </c:pt>
                <c:pt idx="4">
                  <c:v>9245.3933716756892</c:v>
                </c:pt>
                <c:pt idx="5">
                  <c:v>11047.445844269872</c:v>
                </c:pt>
                <c:pt idx="6">
                  <c:v>14859.734945461849</c:v>
                </c:pt>
                <c:pt idx="7">
                  <c:v>11991.694234119659</c:v>
                </c:pt>
                <c:pt idx="8">
                  <c:v>9482.0666954550379</c:v>
                </c:pt>
                <c:pt idx="9">
                  <c:v>7683.7076383692638</c:v>
                </c:pt>
                <c:pt idx="10">
                  <c:v>11174.966119572578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BB14-4A57-8737-4E0E80552977}"/>
            </c:ext>
          </c:extLst>
        </c:ser>
        <c:ser>
          <c:idx val="108"/>
          <c:order val="10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RESULTS'!$B$111:$L$111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-996.74502782823038</c:v>
                </c:pt>
                <c:pt idx="2">
                  <c:v>-1543.3419728512558</c:v>
                </c:pt>
                <c:pt idx="3">
                  <c:v>-2796.7867977061978</c:v>
                </c:pt>
                <c:pt idx="4">
                  <c:v>-2475.0157042064184</c:v>
                </c:pt>
                <c:pt idx="5">
                  <c:v>-2986.1374038016211</c:v>
                </c:pt>
                <c:pt idx="6">
                  <c:v>-2283.3271658028175</c:v>
                </c:pt>
                <c:pt idx="7">
                  <c:v>-3615.0199559593379</c:v>
                </c:pt>
                <c:pt idx="8">
                  <c:v>-3982.9273341202211</c:v>
                </c:pt>
                <c:pt idx="9">
                  <c:v>-3830.0841691186024</c:v>
                </c:pt>
                <c:pt idx="10">
                  <c:v>-3011.5694462335596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BB14-4A57-8737-4E0E80552977}"/>
            </c:ext>
          </c:extLst>
        </c:ser>
        <c:ser>
          <c:idx val="109"/>
          <c:order val="10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RESULTS'!$B$112:$L$112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13683.240327657859</c:v>
                </c:pt>
                <c:pt idx="2">
                  <c:v>26717.041283413742</c:v>
                </c:pt>
                <c:pt idx="3">
                  <c:v>24770.971162527418</c:v>
                </c:pt>
                <c:pt idx="4">
                  <c:v>32534.523365419256</c:v>
                </c:pt>
                <c:pt idx="5">
                  <c:v>37914.379391208757</c:v>
                </c:pt>
                <c:pt idx="6">
                  <c:v>42104.695473157401</c:v>
                </c:pt>
                <c:pt idx="7">
                  <c:v>44853.744445479642</c:v>
                </c:pt>
                <c:pt idx="8">
                  <c:v>66923.419388381415</c:v>
                </c:pt>
                <c:pt idx="9">
                  <c:v>95234.256597048399</c:v>
                </c:pt>
                <c:pt idx="10">
                  <c:v>135684.50508476992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BB14-4A57-8737-4E0E80552977}"/>
            </c:ext>
          </c:extLst>
        </c:ser>
        <c:ser>
          <c:idx val="110"/>
          <c:order val="1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RESULTS'!$B$113:$L$113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7787.5296241256365</c:v>
                </c:pt>
                <c:pt idx="2">
                  <c:v>11214.825504496765</c:v>
                </c:pt>
                <c:pt idx="3">
                  <c:v>6915.1517363756047</c:v>
                </c:pt>
                <c:pt idx="4">
                  <c:v>9939.497364105051</c:v>
                </c:pt>
                <c:pt idx="5">
                  <c:v>20908.348328681121</c:v>
                </c:pt>
                <c:pt idx="6">
                  <c:v>20084.543581485104</c:v>
                </c:pt>
                <c:pt idx="7">
                  <c:v>31715.125508609271</c:v>
                </c:pt>
                <c:pt idx="8">
                  <c:v>38068.925756482342</c:v>
                </c:pt>
                <c:pt idx="9">
                  <c:v>51948.911012486802</c:v>
                </c:pt>
                <c:pt idx="10">
                  <c:v>36299.118197883123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BB14-4A57-8737-4E0E80552977}"/>
            </c:ext>
          </c:extLst>
        </c:ser>
        <c:ser>
          <c:idx val="111"/>
          <c:order val="1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RESULTS'!$B$114:$L$114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5251.9545367701539</c:v>
                </c:pt>
                <c:pt idx="2">
                  <c:v>3515.9627906187798</c:v>
                </c:pt>
                <c:pt idx="3">
                  <c:v>5572.5214852472491</c:v>
                </c:pt>
                <c:pt idx="4">
                  <c:v>9831.0803838978245</c:v>
                </c:pt>
                <c:pt idx="5">
                  <c:v>15070.144021166954</c:v>
                </c:pt>
                <c:pt idx="6">
                  <c:v>10024.138584835677</c:v>
                </c:pt>
                <c:pt idx="7">
                  <c:v>11724.347986275798</c:v>
                </c:pt>
                <c:pt idx="8">
                  <c:v>13990.631907945626</c:v>
                </c:pt>
                <c:pt idx="9">
                  <c:v>9206.5789974124018</c:v>
                </c:pt>
                <c:pt idx="10">
                  <c:v>20556.839955956875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BB14-4A57-8737-4E0E80552977}"/>
            </c:ext>
          </c:extLst>
        </c:ser>
        <c:ser>
          <c:idx val="112"/>
          <c:order val="1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RESULTS'!$B$115:$L$115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5730.1743140692615</c:v>
                </c:pt>
                <c:pt idx="2">
                  <c:v>4315.3590329252384</c:v>
                </c:pt>
                <c:pt idx="3">
                  <c:v>1108.6203441669068</c:v>
                </c:pt>
                <c:pt idx="4">
                  <c:v>3321.2250939997339</c:v>
                </c:pt>
                <c:pt idx="5">
                  <c:v>3817.1422911793434</c:v>
                </c:pt>
                <c:pt idx="6">
                  <c:v>5093.0416975157859</c:v>
                </c:pt>
                <c:pt idx="7">
                  <c:v>4266.9920018435823</c:v>
                </c:pt>
                <c:pt idx="8">
                  <c:v>2207.5188079671243</c:v>
                </c:pt>
                <c:pt idx="9">
                  <c:v>868.59189975051959</c:v>
                </c:pt>
                <c:pt idx="10">
                  <c:v>3469.3857609553625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BB14-4A57-8737-4E0E80552977}"/>
            </c:ext>
          </c:extLst>
        </c:ser>
        <c:ser>
          <c:idx val="113"/>
          <c:order val="1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RESULTS'!$B$116:$L$116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4414.13959523415</c:v>
                </c:pt>
                <c:pt idx="2">
                  <c:v>5593.5406408067101</c:v>
                </c:pt>
                <c:pt idx="3">
                  <c:v>3581.1659771348322</c:v>
                </c:pt>
                <c:pt idx="4">
                  <c:v>9250.8989390223942</c:v>
                </c:pt>
                <c:pt idx="5">
                  <c:v>11972.473065270497</c:v>
                </c:pt>
                <c:pt idx="6">
                  <c:v>13013.107119388955</c:v>
                </c:pt>
                <c:pt idx="7">
                  <c:v>12940.667615102873</c:v>
                </c:pt>
                <c:pt idx="8">
                  <c:v>17939.535558365089</c:v>
                </c:pt>
                <c:pt idx="9">
                  <c:v>28380.046109706287</c:v>
                </c:pt>
                <c:pt idx="10">
                  <c:v>17406.883224828194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BB14-4A57-8737-4E0E80552977}"/>
            </c:ext>
          </c:extLst>
        </c:ser>
        <c:ser>
          <c:idx val="114"/>
          <c:order val="1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RESULTS'!$B$117:$L$117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6469.3192704675639</c:v>
                </c:pt>
                <c:pt idx="2">
                  <c:v>10749.425505891542</c:v>
                </c:pt>
                <c:pt idx="3">
                  <c:v>11500.251109883719</c:v>
                </c:pt>
                <c:pt idx="4">
                  <c:v>17177.406819829444</c:v>
                </c:pt>
                <c:pt idx="5">
                  <c:v>12736.794743606246</c:v>
                </c:pt>
                <c:pt idx="6">
                  <c:v>10880.974217729698</c:v>
                </c:pt>
                <c:pt idx="7">
                  <c:v>13801.219338490555</c:v>
                </c:pt>
                <c:pt idx="8">
                  <c:v>14758.03423089713</c:v>
                </c:pt>
                <c:pt idx="9">
                  <c:v>22024.97081433711</c:v>
                </c:pt>
                <c:pt idx="10">
                  <c:v>27361.354199212499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BB14-4A57-8737-4E0E80552977}"/>
            </c:ext>
          </c:extLst>
        </c:ser>
        <c:ser>
          <c:idx val="115"/>
          <c:order val="1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RESULTS'!$B$118:$L$118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7016.9527878865592</c:v>
                </c:pt>
                <c:pt idx="2">
                  <c:v>8770.3929299875854</c:v>
                </c:pt>
                <c:pt idx="3">
                  <c:v>2812.1146191719126</c:v>
                </c:pt>
                <c:pt idx="4">
                  <c:v>6314.5722694443102</c:v>
                </c:pt>
                <c:pt idx="5">
                  <c:v>4271.3255365805344</c:v>
                </c:pt>
                <c:pt idx="6">
                  <c:v>4311.3992188376451</c:v>
                </c:pt>
                <c:pt idx="7">
                  <c:v>3472.7790184874611</c:v>
                </c:pt>
                <c:pt idx="8">
                  <c:v>6195.8205928685311</c:v>
                </c:pt>
                <c:pt idx="9">
                  <c:v>4900.3731965267471</c:v>
                </c:pt>
                <c:pt idx="10">
                  <c:v>2991.4781729921642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BB14-4A57-8737-4E0E80552977}"/>
            </c:ext>
          </c:extLst>
        </c:ser>
        <c:ser>
          <c:idx val="116"/>
          <c:order val="1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RESULTS'!$B$119:$L$119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1526.1377279885146</c:v>
                </c:pt>
                <c:pt idx="2">
                  <c:v>527.31978342850562</c:v>
                </c:pt>
                <c:pt idx="3">
                  <c:v>-2384.1952837761214</c:v>
                </c:pt>
                <c:pt idx="4">
                  <c:v>-393.95141742329997</c:v>
                </c:pt>
                <c:pt idx="5">
                  <c:v>608.94832424825654</c:v>
                </c:pt>
                <c:pt idx="6">
                  <c:v>2108.098401200763</c:v>
                </c:pt>
                <c:pt idx="7">
                  <c:v>-141.1917094541368</c:v>
                </c:pt>
                <c:pt idx="8">
                  <c:v>-637.18870439592229</c:v>
                </c:pt>
                <c:pt idx="9">
                  <c:v>3223.5794574174733</c:v>
                </c:pt>
                <c:pt idx="10">
                  <c:v>4634.5368859933224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BB14-4A57-8737-4E0E80552977}"/>
            </c:ext>
          </c:extLst>
        </c:ser>
        <c:ser>
          <c:idx val="117"/>
          <c:order val="1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RESULTS'!$B$120:$L$120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4557.1142225026233</c:v>
                </c:pt>
                <c:pt idx="2">
                  <c:v>5993.5785584391288</c:v>
                </c:pt>
                <c:pt idx="3">
                  <c:v>5108.22304389684</c:v>
                </c:pt>
                <c:pt idx="4">
                  <c:v>9628.1959970359367</c:v>
                </c:pt>
                <c:pt idx="5">
                  <c:v>10256.45804717264</c:v>
                </c:pt>
                <c:pt idx="6">
                  <c:v>13844.281319621976</c:v>
                </c:pt>
                <c:pt idx="7">
                  <c:v>19724.396207523121</c:v>
                </c:pt>
                <c:pt idx="8">
                  <c:v>23825.975300808044</c:v>
                </c:pt>
                <c:pt idx="9">
                  <c:v>35522.999439766827</c:v>
                </c:pt>
                <c:pt idx="10">
                  <c:v>47409.914475091857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BB14-4A57-8737-4E0E80552977}"/>
            </c:ext>
          </c:extLst>
        </c:ser>
        <c:ser>
          <c:idx val="118"/>
          <c:order val="1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RESULTS'!$B$121:$L$121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7669.3074655910896</c:v>
                </c:pt>
                <c:pt idx="2">
                  <c:v>5744.6435860955662</c:v>
                </c:pt>
                <c:pt idx="3">
                  <c:v>8198.4078195956954</c:v>
                </c:pt>
                <c:pt idx="4">
                  <c:v>6086.1920673961631</c:v>
                </c:pt>
                <c:pt idx="5">
                  <c:v>6939.2001041558015</c:v>
                </c:pt>
                <c:pt idx="6">
                  <c:v>6488.6285922340667</c:v>
                </c:pt>
                <c:pt idx="7">
                  <c:v>5562.277206088791</c:v>
                </c:pt>
                <c:pt idx="8">
                  <c:v>8387.6097192586294</c:v>
                </c:pt>
                <c:pt idx="9">
                  <c:v>10978.84401481796</c:v>
                </c:pt>
                <c:pt idx="10">
                  <c:v>17307.259722676805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BB14-4A57-8737-4E0E80552977}"/>
            </c:ext>
          </c:extLst>
        </c:ser>
        <c:ser>
          <c:idx val="119"/>
          <c:order val="1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RESULTS'!$B$122:$L$122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3981.3009313647253</c:v>
                </c:pt>
                <c:pt idx="2">
                  <c:v>7369.6686377059123</c:v>
                </c:pt>
                <c:pt idx="3">
                  <c:v>9080.0448053179443</c:v>
                </c:pt>
                <c:pt idx="4">
                  <c:v>6213.9091710647699</c:v>
                </c:pt>
                <c:pt idx="5">
                  <c:v>3450.3956450681535</c:v>
                </c:pt>
                <c:pt idx="6">
                  <c:v>1495.7265138441098</c:v>
                </c:pt>
                <c:pt idx="7">
                  <c:v>-641.90917571218279</c:v>
                </c:pt>
                <c:pt idx="8">
                  <c:v>1132.8529434118509</c:v>
                </c:pt>
                <c:pt idx="9">
                  <c:v>1087.7975668016943</c:v>
                </c:pt>
                <c:pt idx="10">
                  <c:v>843.36683019893644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BB14-4A57-8737-4E0E80552977}"/>
            </c:ext>
          </c:extLst>
        </c:ser>
        <c:ser>
          <c:idx val="120"/>
          <c:order val="1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RESULTS'!$B$123:$L$123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7765.9573495315526</c:v>
                </c:pt>
                <c:pt idx="2">
                  <c:v>8886.5557225952725</c:v>
                </c:pt>
                <c:pt idx="3">
                  <c:v>10514.420248932925</c:v>
                </c:pt>
                <c:pt idx="4">
                  <c:v>15179.203949736035</c:v>
                </c:pt>
                <c:pt idx="5">
                  <c:v>16422.024723134487</c:v>
                </c:pt>
                <c:pt idx="6">
                  <c:v>17005.921746747863</c:v>
                </c:pt>
                <c:pt idx="7">
                  <c:v>14767.770890827167</c:v>
                </c:pt>
                <c:pt idx="8">
                  <c:v>19779.880477746145</c:v>
                </c:pt>
                <c:pt idx="9">
                  <c:v>21284.006196019593</c:v>
                </c:pt>
                <c:pt idx="10">
                  <c:v>31923.646508078818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BB14-4A57-8737-4E0E80552977}"/>
            </c:ext>
          </c:extLst>
        </c:ser>
        <c:ser>
          <c:idx val="121"/>
          <c:order val="1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RESULTS'!$B$124:$L$124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3277.1290874421911</c:v>
                </c:pt>
                <c:pt idx="2">
                  <c:v>2014.4696478920096</c:v>
                </c:pt>
                <c:pt idx="3">
                  <c:v>2519.5006342279476</c:v>
                </c:pt>
                <c:pt idx="4">
                  <c:v>3163.7757841929933</c:v>
                </c:pt>
                <c:pt idx="5">
                  <c:v>2357.5625249219447</c:v>
                </c:pt>
                <c:pt idx="6">
                  <c:v>7901.6191490710262</c:v>
                </c:pt>
                <c:pt idx="7">
                  <c:v>2967.8217904932371</c:v>
                </c:pt>
                <c:pt idx="8">
                  <c:v>7158.6586144051107</c:v>
                </c:pt>
                <c:pt idx="9">
                  <c:v>9608.7258479919692</c:v>
                </c:pt>
                <c:pt idx="10">
                  <c:v>9718.6293626181123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BB14-4A57-8737-4E0E80552977}"/>
            </c:ext>
          </c:extLst>
        </c:ser>
        <c:ser>
          <c:idx val="122"/>
          <c:order val="1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RESULTS'!$B$125:$L$125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2583.0600482305836</c:v>
                </c:pt>
                <c:pt idx="2">
                  <c:v>6350.3790054929377</c:v>
                </c:pt>
                <c:pt idx="3">
                  <c:v>10948.668365956903</c:v>
                </c:pt>
                <c:pt idx="4">
                  <c:v>10835.262427699876</c:v>
                </c:pt>
                <c:pt idx="5">
                  <c:v>12353.200494699449</c:v>
                </c:pt>
                <c:pt idx="6">
                  <c:v>10155.11954680668</c:v>
                </c:pt>
                <c:pt idx="7">
                  <c:v>15005.816757907211</c:v>
                </c:pt>
                <c:pt idx="8">
                  <c:v>18752.087334205989</c:v>
                </c:pt>
                <c:pt idx="9">
                  <c:v>11636.629115232572</c:v>
                </c:pt>
                <c:pt idx="10">
                  <c:v>23002.918454686045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BB14-4A57-8737-4E0E80552977}"/>
            </c:ext>
          </c:extLst>
        </c:ser>
        <c:ser>
          <c:idx val="123"/>
          <c:order val="1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RESULTS'!$B$126:$L$126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2360.3899235204935</c:v>
                </c:pt>
                <c:pt idx="2">
                  <c:v>1712.1854135538424</c:v>
                </c:pt>
                <c:pt idx="3">
                  <c:v>-772.42930852512382</c:v>
                </c:pt>
                <c:pt idx="4">
                  <c:v>-2057.5746132003951</c:v>
                </c:pt>
                <c:pt idx="5">
                  <c:v>-2794.2854927305293</c:v>
                </c:pt>
                <c:pt idx="6">
                  <c:v>-2578.9701517240969</c:v>
                </c:pt>
                <c:pt idx="7">
                  <c:v>-2698.574299563049</c:v>
                </c:pt>
                <c:pt idx="8">
                  <c:v>-3214.4797124821571</c:v>
                </c:pt>
                <c:pt idx="9">
                  <c:v>-2775.9000038757858</c:v>
                </c:pt>
                <c:pt idx="10">
                  <c:v>-3472.6365890642683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BB14-4A57-8737-4E0E80552977}"/>
            </c:ext>
          </c:extLst>
        </c:ser>
        <c:ser>
          <c:idx val="124"/>
          <c:order val="1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RESULTS'!$B$127:$L$127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10513.327979640759</c:v>
                </c:pt>
                <c:pt idx="2">
                  <c:v>12968.431859358818</c:v>
                </c:pt>
                <c:pt idx="3">
                  <c:v>15643.622281707732</c:v>
                </c:pt>
                <c:pt idx="4">
                  <c:v>14711.542024782659</c:v>
                </c:pt>
                <c:pt idx="5">
                  <c:v>8387.6789929303086</c:v>
                </c:pt>
                <c:pt idx="6">
                  <c:v>17325.466936308854</c:v>
                </c:pt>
                <c:pt idx="7">
                  <c:v>19778.548320698217</c:v>
                </c:pt>
                <c:pt idx="8">
                  <c:v>22377.494909817531</c:v>
                </c:pt>
                <c:pt idx="9">
                  <c:v>26956.161756324567</c:v>
                </c:pt>
                <c:pt idx="10">
                  <c:v>38304.563706158842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BB14-4A57-8737-4E0E80552977}"/>
            </c:ext>
          </c:extLst>
        </c:ser>
        <c:ser>
          <c:idx val="125"/>
          <c:order val="1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RESULTS'!$B$128:$L$128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5708.9425774149713</c:v>
                </c:pt>
                <c:pt idx="2">
                  <c:v>7159.6349708795769</c:v>
                </c:pt>
                <c:pt idx="3">
                  <c:v>6677.2309896883289</c:v>
                </c:pt>
                <c:pt idx="4">
                  <c:v>8328.2987777382477</c:v>
                </c:pt>
                <c:pt idx="5">
                  <c:v>6882.9450143446429</c:v>
                </c:pt>
                <c:pt idx="6">
                  <c:v>6167.4134404832366</c:v>
                </c:pt>
                <c:pt idx="7">
                  <c:v>15561.138855190642</c:v>
                </c:pt>
                <c:pt idx="8">
                  <c:v>24638.343825341475</c:v>
                </c:pt>
                <c:pt idx="9">
                  <c:v>26627.879575001203</c:v>
                </c:pt>
                <c:pt idx="10">
                  <c:v>21458.33889832694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BB14-4A57-8737-4E0E80552977}"/>
            </c:ext>
          </c:extLst>
        </c:ser>
        <c:ser>
          <c:idx val="126"/>
          <c:order val="1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RESULTS'!$B$129:$L$129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6000.8511006906811</c:v>
                </c:pt>
                <c:pt idx="2">
                  <c:v>10794.167258952328</c:v>
                </c:pt>
                <c:pt idx="3">
                  <c:v>12694.434138696615</c:v>
                </c:pt>
                <c:pt idx="4">
                  <c:v>6188.5062099921106</c:v>
                </c:pt>
                <c:pt idx="5">
                  <c:v>17180.088291652082</c:v>
                </c:pt>
                <c:pt idx="6">
                  <c:v>23000.131494725054</c:v>
                </c:pt>
                <c:pt idx="7">
                  <c:v>23066.150217563951</c:v>
                </c:pt>
                <c:pt idx="8">
                  <c:v>21393.161657123921</c:v>
                </c:pt>
                <c:pt idx="9">
                  <c:v>26333.634757259239</c:v>
                </c:pt>
                <c:pt idx="10">
                  <c:v>38231.010202646365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BB14-4A57-8737-4E0E80552977}"/>
            </c:ext>
          </c:extLst>
        </c:ser>
        <c:ser>
          <c:idx val="127"/>
          <c:order val="1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RESULTS'!$B$130:$L$130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5563.0911944957443</c:v>
                </c:pt>
                <c:pt idx="2">
                  <c:v>6971.7569942582813</c:v>
                </c:pt>
                <c:pt idx="3">
                  <c:v>9678.8496285117417</c:v>
                </c:pt>
                <c:pt idx="4">
                  <c:v>11866.034383040545</c:v>
                </c:pt>
                <c:pt idx="5">
                  <c:v>19012.737492701428</c:v>
                </c:pt>
                <c:pt idx="6">
                  <c:v>12601.327672556592</c:v>
                </c:pt>
                <c:pt idx="7">
                  <c:v>14179.884788470594</c:v>
                </c:pt>
                <c:pt idx="8">
                  <c:v>17408.860076005989</c:v>
                </c:pt>
                <c:pt idx="9">
                  <c:v>21664.712924500775</c:v>
                </c:pt>
                <c:pt idx="10">
                  <c:v>17641.541604191316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BB14-4A57-8737-4E0E80552977}"/>
            </c:ext>
          </c:extLst>
        </c:ser>
        <c:ser>
          <c:idx val="128"/>
          <c:order val="1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RESULTS'!$B$131:$L$131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2283.2385253860093</c:v>
                </c:pt>
                <c:pt idx="2">
                  <c:v>5890.677324368582</c:v>
                </c:pt>
                <c:pt idx="3">
                  <c:v>5364.9671119913201</c:v>
                </c:pt>
                <c:pt idx="4">
                  <c:v>5587.5657240065957</c:v>
                </c:pt>
                <c:pt idx="5">
                  <c:v>7042.0729534026486</c:v>
                </c:pt>
                <c:pt idx="6">
                  <c:v>2261.6660425434402</c:v>
                </c:pt>
                <c:pt idx="7">
                  <c:v>1198.1004604219324</c:v>
                </c:pt>
                <c:pt idx="8">
                  <c:v>4515.0826509138369</c:v>
                </c:pt>
                <c:pt idx="9">
                  <c:v>3999.8019723131529</c:v>
                </c:pt>
                <c:pt idx="10">
                  <c:v>1564.2044468683362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BB14-4A57-8737-4E0E80552977}"/>
            </c:ext>
          </c:extLst>
        </c:ser>
        <c:ser>
          <c:idx val="129"/>
          <c:order val="1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RESULTS'!$B$132:$L$132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3761.7302999012754</c:v>
                </c:pt>
                <c:pt idx="2">
                  <c:v>6107.2326615375532</c:v>
                </c:pt>
                <c:pt idx="3">
                  <c:v>3423.7765239790579</c:v>
                </c:pt>
                <c:pt idx="4">
                  <c:v>1849.0060477966808</c:v>
                </c:pt>
                <c:pt idx="5">
                  <c:v>3423.0251727309133</c:v>
                </c:pt>
                <c:pt idx="6">
                  <c:v>5921.8753500149251</c:v>
                </c:pt>
                <c:pt idx="7">
                  <c:v>16374.228487005927</c:v>
                </c:pt>
                <c:pt idx="8">
                  <c:v>35067.702830088696</c:v>
                </c:pt>
                <c:pt idx="9">
                  <c:v>26151.539442581408</c:v>
                </c:pt>
                <c:pt idx="10">
                  <c:v>23837.552310385716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BB14-4A57-8737-4E0E80552977}"/>
            </c:ext>
          </c:extLst>
        </c:ser>
        <c:ser>
          <c:idx val="130"/>
          <c:order val="1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RESULTS'!$B$133:$L$133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8822.7919998458674</c:v>
                </c:pt>
                <c:pt idx="2">
                  <c:v>17664.812438550343</c:v>
                </c:pt>
                <c:pt idx="3">
                  <c:v>16737.854159418504</c:v>
                </c:pt>
                <c:pt idx="4">
                  <c:v>15515.372095097788</c:v>
                </c:pt>
                <c:pt idx="5">
                  <c:v>17214.157468637077</c:v>
                </c:pt>
                <c:pt idx="6">
                  <c:v>10931.353465132141</c:v>
                </c:pt>
                <c:pt idx="7">
                  <c:v>17774.481556285311</c:v>
                </c:pt>
                <c:pt idx="8">
                  <c:v>24775.459863414155</c:v>
                </c:pt>
                <c:pt idx="9">
                  <c:v>29717.730430726508</c:v>
                </c:pt>
                <c:pt idx="10">
                  <c:v>27914.867296863467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BB14-4A57-8737-4E0E80552977}"/>
            </c:ext>
          </c:extLst>
        </c:ser>
        <c:ser>
          <c:idx val="131"/>
          <c:order val="1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RESULTS'!$B$134:$L$134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9798.7815901681915</c:v>
                </c:pt>
                <c:pt idx="2">
                  <c:v>8957.2219875638093</c:v>
                </c:pt>
                <c:pt idx="3">
                  <c:v>12181.367925679773</c:v>
                </c:pt>
                <c:pt idx="4">
                  <c:v>24027.363583682396</c:v>
                </c:pt>
                <c:pt idx="5">
                  <c:v>22499.341270729179</c:v>
                </c:pt>
                <c:pt idx="6">
                  <c:v>26777.725041149613</c:v>
                </c:pt>
                <c:pt idx="7">
                  <c:v>39631.406018379748</c:v>
                </c:pt>
                <c:pt idx="8">
                  <c:v>68240.388483954623</c:v>
                </c:pt>
                <c:pt idx="9">
                  <c:v>78148.958490515637</c:v>
                </c:pt>
                <c:pt idx="10">
                  <c:v>102785.12598572008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BB14-4A57-8737-4E0E80552977}"/>
            </c:ext>
          </c:extLst>
        </c:ser>
        <c:ser>
          <c:idx val="132"/>
          <c:order val="1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RESULTS'!$B$135:$L$135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5184.3389183841355</c:v>
                </c:pt>
                <c:pt idx="2">
                  <c:v>5075.5449535483585</c:v>
                </c:pt>
                <c:pt idx="3">
                  <c:v>8180.8217536070915</c:v>
                </c:pt>
                <c:pt idx="4">
                  <c:v>6139.4016325462053</c:v>
                </c:pt>
                <c:pt idx="5">
                  <c:v>6391.7568107591705</c:v>
                </c:pt>
                <c:pt idx="6">
                  <c:v>2413.8704857219236</c:v>
                </c:pt>
                <c:pt idx="7">
                  <c:v>2576.6837697970059</c:v>
                </c:pt>
                <c:pt idx="8">
                  <c:v>3757.5857355261596</c:v>
                </c:pt>
                <c:pt idx="9">
                  <c:v>4293.7081069559608</c:v>
                </c:pt>
                <c:pt idx="10">
                  <c:v>2647.1001752319662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BB14-4A57-8737-4E0E80552977}"/>
            </c:ext>
          </c:extLst>
        </c:ser>
        <c:ser>
          <c:idx val="133"/>
          <c:order val="1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RESULTS'!$B$136:$L$136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2541.8841513107609</c:v>
                </c:pt>
                <c:pt idx="2">
                  <c:v>8353.5862565330281</c:v>
                </c:pt>
                <c:pt idx="3">
                  <c:v>9138.2159087486161</c:v>
                </c:pt>
                <c:pt idx="4">
                  <c:v>7480.1489330558543</c:v>
                </c:pt>
                <c:pt idx="5">
                  <c:v>14604.154606777389</c:v>
                </c:pt>
                <c:pt idx="6">
                  <c:v>14215.740848519843</c:v>
                </c:pt>
                <c:pt idx="7">
                  <c:v>20208.524343315767</c:v>
                </c:pt>
                <c:pt idx="8">
                  <c:v>19070.152497362593</c:v>
                </c:pt>
                <c:pt idx="9">
                  <c:v>21428.009046923024</c:v>
                </c:pt>
                <c:pt idx="10">
                  <c:v>32167.937764728456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BB14-4A57-8737-4E0E80552977}"/>
            </c:ext>
          </c:extLst>
        </c:ser>
        <c:ser>
          <c:idx val="134"/>
          <c:order val="1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RESULTS'!$B$137:$L$137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9380.8252134602371</c:v>
                </c:pt>
                <c:pt idx="2">
                  <c:v>14091.500626059336</c:v>
                </c:pt>
                <c:pt idx="3">
                  <c:v>17317.526716410117</c:v>
                </c:pt>
                <c:pt idx="4">
                  <c:v>24573.031976721875</c:v>
                </c:pt>
                <c:pt idx="5">
                  <c:v>32985.706200092427</c:v>
                </c:pt>
                <c:pt idx="6">
                  <c:v>31826.01434237379</c:v>
                </c:pt>
                <c:pt idx="7">
                  <c:v>28536.874214852673</c:v>
                </c:pt>
                <c:pt idx="8">
                  <c:v>37141.543128558755</c:v>
                </c:pt>
                <c:pt idx="9">
                  <c:v>62484.893043719945</c:v>
                </c:pt>
                <c:pt idx="10">
                  <c:v>77161.587892943091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BB14-4A57-8737-4E0E80552977}"/>
            </c:ext>
          </c:extLst>
        </c:ser>
        <c:ser>
          <c:idx val="135"/>
          <c:order val="1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RESULTS'!$B$138:$L$138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9295.2468783860149</c:v>
                </c:pt>
                <c:pt idx="2">
                  <c:v>10769.82980260924</c:v>
                </c:pt>
                <c:pt idx="3">
                  <c:v>6434.5358907944446</c:v>
                </c:pt>
                <c:pt idx="4">
                  <c:v>11478.455023024986</c:v>
                </c:pt>
                <c:pt idx="5">
                  <c:v>4904.5289679886137</c:v>
                </c:pt>
                <c:pt idx="6">
                  <c:v>12244.942662860518</c:v>
                </c:pt>
                <c:pt idx="7">
                  <c:v>17498.669896782798</c:v>
                </c:pt>
                <c:pt idx="8">
                  <c:v>22119.047610557081</c:v>
                </c:pt>
                <c:pt idx="9">
                  <c:v>26720.066844269852</c:v>
                </c:pt>
                <c:pt idx="10">
                  <c:v>41407.928352834235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BB14-4A57-8737-4E0E80552977}"/>
            </c:ext>
          </c:extLst>
        </c:ser>
        <c:ser>
          <c:idx val="136"/>
          <c:order val="1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RESULTS'!$B$139:$L$139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4115.8844155518818</c:v>
                </c:pt>
                <c:pt idx="2">
                  <c:v>5321.2042477859432</c:v>
                </c:pt>
                <c:pt idx="3">
                  <c:v>12071.688554246473</c:v>
                </c:pt>
                <c:pt idx="4">
                  <c:v>21659.436879079309</c:v>
                </c:pt>
                <c:pt idx="5">
                  <c:v>19497.941073102131</c:v>
                </c:pt>
                <c:pt idx="6">
                  <c:v>32225.987449334963</c:v>
                </c:pt>
                <c:pt idx="7">
                  <c:v>46011.287096831526</c:v>
                </c:pt>
                <c:pt idx="8">
                  <c:v>44557.342497978323</c:v>
                </c:pt>
                <c:pt idx="9">
                  <c:v>29338.632067256585</c:v>
                </c:pt>
                <c:pt idx="10">
                  <c:v>27853.76298983036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BB14-4A57-8737-4E0E80552977}"/>
            </c:ext>
          </c:extLst>
        </c:ser>
        <c:ser>
          <c:idx val="137"/>
          <c:order val="1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RESULTS'!$B$140:$L$140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10871.001526247339</c:v>
                </c:pt>
                <c:pt idx="2">
                  <c:v>12700.889450736722</c:v>
                </c:pt>
                <c:pt idx="3">
                  <c:v>24409.395100387956</c:v>
                </c:pt>
                <c:pt idx="4">
                  <c:v>23441.356628392525</c:v>
                </c:pt>
                <c:pt idx="5">
                  <c:v>25014.452863632236</c:v>
                </c:pt>
                <c:pt idx="6">
                  <c:v>41647.553516919412</c:v>
                </c:pt>
                <c:pt idx="7">
                  <c:v>68371.617840661042</c:v>
                </c:pt>
                <c:pt idx="8">
                  <c:v>90219.423256399939</c:v>
                </c:pt>
                <c:pt idx="9">
                  <c:v>139575.2043229063</c:v>
                </c:pt>
                <c:pt idx="10">
                  <c:v>240222.60215789711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BB14-4A57-8737-4E0E80552977}"/>
            </c:ext>
          </c:extLst>
        </c:ser>
        <c:ser>
          <c:idx val="138"/>
          <c:order val="1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RESULTS'!$B$141:$L$141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5919.166271998025</c:v>
                </c:pt>
                <c:pt idx="2">
                  <c:v>8993.2835737795085</c:v>
                </c:pt>
                <c:pt idx="3">
                  <c:v>16159.222104239107</c:v>
                </c:pt>
                <c:pt idx="4">
                  <c:v>18900.146249598456</c:v>
                </c:pt>
                <c:pt idx="5">
                  <c:v>24406.049093045476</c:v>
                </c:pt>
                <c:pt idx="6">
                  <c:v>40436.247229981607</c:v>
                </c:pt>
                <c:pt idx="7">
                  <c:v>37842.138404627185</c:v>
                </c:pt>
                <c:pt idx="8">
                  <c:v>57372.144587467665</c:v>
                </c:pt>
                <c:pt idx="9">
                  <c:v>93704.709991657481</c:v>
                </c:pt>
                <c:pt idx="10">
                  <c:v>128504.62033678379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BB14-4A57-8737-4E0E80552977}"/>
            </c:ext>
          </c:extLst>
        </c:ser>
        <c:ser>
          <c:idx val="139"/>
          <c:order val="1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RESULTS'!$B$142:$L$142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7204.0877983593382</c:v>
                </c:pt>
                <c:pt idx="2">
                  <c:v>12194.791901320048</c:v>
                </c:pt>
                <c:pt idx="3">
                  <c:v>13532.78833510078</c:v>
                </c:pt>
                <c:pt idx="4">
                  <c:v>34055.553337238111</c:v>
                </c:pt>
                <c:pt idx="5">
                  <c:v>48637.174496128166</c:v>
                </c:pt>
                <c:pt idx="6">
                  <c:v>38470.24683299919</c:v>
                </c:pt>
                <c:pt idx="7">
                  <c:v>50914.444976492283</c:v>
                </c:pt>
                <c:pt idx="8">
                  <c:v>78774.600831040065</c:v>
                </c:pt>
                <c:pt idx="9">
                  <c:v>63249.974754209325</c:v>
                </c:pt>
                <c:pt idx="10">
                  <c:v>62081.692083518559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BB14-4A57-8737-4E0E80552977}"/>
            </c:ext>
          </c:extLst>
        </c:ser>
        <c:ser>
          <c:idx val="140"/>
          <c:order val="1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RESULTS'!$B$143:$L$143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5922.6992301947466</c:v>
                </c:pt>
                <c:pt idx="2">
                  <c:v>10113.925453768572</c:v>
                </c:pt>
                <c:pt idx="3">
                  <c:v>11091.351330803653</c:v>
                </c:pt>
                <c:pt idx="4">
                  <c:v>9821.0498647736513</c:v>
                </c:pt>
                <c:pt idx="5">
                  <c:v>9315.4591500833012</c:v>
                </c:pt>
                <c:pt idx="6">
                  <c:v>10241.507225631341</c:v>
                </c:pt>
                <c:pt idx="7">
                  <c:v>5495.3720187243744</c:v>
                </c:pt>
                <c:pt idx="8">
                  <c:v>5446.723906430414</c:v>
                </c:pt>
                <c:pt idx="9">
                  <c:v>7250.5707705771692</c:v>
                </c:pt>
                <c:pt idx="10">
                  <c:v>5407.4162019592986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BB14-4A57-8737-4E0E80552977}"/>
            </c:ext>
          </c:extLst>
        </c:ser>
        <c:ser>
          <c:idx val="141"/>
          <c:order val="1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RESULTS'!$B$144:$L$144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8835.904568423688</c:v>
                </c:pt>
                <c:pt idx="2">
                  <c:v>7224.5507340868571</c:v>
                </c:pt>
                <c:pt idx="3">
                  <c:v>10838.383360414016</c:v>
                </c:pt>
                <c:pt idx="4">
                  <c:v>17437.66165338127</c:v>
                </c:pt>
                <c:pt idx="5">
                  <c:v>12725.238572894395</c:v>
                </c:pt>
                <c:pt idx="6">
                  <c:v>11404.693454274566</c:v>
                </c:pt>
                <c:pt idx="7">
                  <c:v>22630.050131585569</c:v>
                </c:pt>
                <c:pt idx="8">
                  <c:v>28341.677824830149</c:v>
                </c:pt>
                <c:pt idx="9">
                  <c:v>45225.860741385273</c:v>
                </c:pt>
                <c:pt idx="10">
                  <c:v>36294.43309196199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BB14-4A57-8737-4E0E80552977}"/>
            </c:ext>
          </c:extLst>
        </c:ser>
        <c:ser>
          <c:idx val="142"/>
          <c:order val="1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RESULTS'!$B$145:$L$145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4329.2736616409311</c:v>
                </c:pt>
                <c:pt idx="2">
                  <c:v>5545.4349472203685</c:v>
                </c:pt>
                <c:pt idx="3">
                  <c:v>415.4676687954634</c:v>
                </c:pt>
                <c:pt idx="4">
                  <c:v>1961.283424900771</c:v>
                </c:pt>
                <c:pt idx="5">
                  <c:v>5128.3817866025565</c:v>
                </c:pt>
                <c:pt idx="6">
                  <c:v>4939.4539026809107</c:v>
                </c:pt>
                <c:pt idx="7">
                  <c:v>445.39894932003517</c:v>
                </c:pt>
                <c:pt idx="8">
                  <c:v>-386.61319260066648</c:v>
                </c:pt>
                <c:pt idx="9">
                  <c:v>-1360.0445282080705</c:v>
                </c:pt>
                <c:pt idx="10">
                  <c:v>-2879.571486048304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BB14-4A57-8737-4E0E80552977}"/>
            </c:ext>
          </c:extLst>
        </c:ser>
        <c:ser>
          <c:idx val="143"/>
          <c:order val="14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RESULTS'!$B$146:$L$146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5374.2576831545994</c:v>
                </c:pt>
                <c:pt idx="2">
                  <c:v>2904.6960991771266</c:v>
                </c:pt>
                <c:pt idx="3">
                  <c:v>4983.7526880927599</c:v>
                </c:pt>
                <c:pt idx="4">
                  <c:v>11044.344534764468</c:v>
                </c:pt>
                <c:pt idx="5">
                  <c:v>13815.005415757609</c:v>
                </c:pt>
                <c:pt idx="6">
                  <c:v>12297.615318253567</c:v>
                </c:pt>
                <c:pt idx="7">
                  <c:v>15910.275452502134</c:v>
                </c:pt>
                <c:pt idx="8">
                  <c:v>14849.325293824546</c:v>
                </c:pt>
                <c:pt idx="9">
                  <c:v>17979.915910107946</c:v>
                </c:pt>
                <c:pt idx="10">
                  <c:v>24202.388993737681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BB14-4A57-8737-4E0E80552977}"/>
            </c:ext>
          </c:extLst>
        </c:ser>
        <c:ser>
          <c:idx val="144"/>
          <c:order val="14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RESULTS'!$B$147:$L$147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5848.6084037517212</c:v>
                </c:pt>
                <c:pt idx="2">
                  <c:v>8280.1400392793767</c:v>
                </c:pt>
                <c:pt idx="3">
                  <c:v>11951.183235348693</c:v>
                </c:pt>
                <c:pt idx="4">
                  <c:v>9983.029240365493</c:v>
                </c:pt>
                <c:pt idx="5">
                  <c:v>7177.4770637991187</c:v>
                </c:pt>
                <c:pt idx="6">
                  <c:v>4268.4020542068411</c:v>
                </c:pt>
                <c:pt idx="7">
                  <c:v>5239.7626325959991</c:v>
                </c:pt>
                <c:pt idx="8">
                  <c:v>5463.1821647765482</c:v>
                </c:pt>
                <c:pt idx="9">
                  <c:v>3696.1423314259991</c:v>
                </c:pt>
                <c:pt idx="10">
                  <c:v>8615.850306465778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BB14-4A57-8737-4E0E80552977}"/>
            </c:ext>
          </c:extLst>
        </c:ser>
        <c:ser>
          <c:idx val="145"/>
          <c:order val="14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RESULTS'!$B$148:$L$148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6243.3229530082463</c:v>
                </c:pt>
                <c:pt idx="2">
                  <c:v>12916.838028989601</c:v>
                </c:pt>
                <c:pt idx="3">
                  <c:v>12825.113687197161</c:v>
                </c:pt>
                <c:pt idx="4">
                  <c:v>5758.3839157854472</c:v>
                </c:pt>
                <c:pt idx="5">
                  <c:v>7934.1186087698861</c:v>
                </c:pt>
                <c:pt idx="6">
                  <c:v>11757.139571216769</c:v>
                </c:pt>
                <c:pt idx="7">
                  <c:v>12929.155784174476</c:v>
                </c:pt>
                <c:pt idx="8">
                  <c:v>22024.146655987137</c:v>
                </c:pt>
                <c:pt idx="9">
                  <c:v>29419.632695932502</c:v>
                </c:pt>
                <c:pt idx="10">
                  <c:v>35753.240040404409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BB14-4A57-8737-4E0E80552977}"/>
            </c:ext>
          </c:extLst>
        </c:ser>
        <c:ser>
          <c:idx val="146"/>
          <c:order val="14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RESULTS'!$B$149:$L$149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4876.4271171114851</c:v>
                </c:pt>
                <c:pt idx="2">
                  <c:v>4249.2506058671952</c:v>
                </c:pt>
                <c:pt idx="3">
                  <c:v>6995.0106961531528</c:v>
                </c:pt>
                <c:pt idx="4">
                  <c:v>8967.4099613367143</c:v>
                </c:pt>
                <c:pt idx="5">
                  <c:v>14315.693766898068</c:v>
                </c:pt>
                <c:pt idx="6">
                  <c:v>21792.338443095447</c:v>
                </c:pt>
                <c:pt idx="7">
                  <c:v>15313.339392748399</c:v>
                </c:pt>
                <c:pt idx="8">
                  <c:v>16692.5246584704</c:v>
                </c:pt>
                <c:pt idx="9">
                  <c:v>22828.521918153925</c:v>
                </c:pt>
                <c:pt idx="10">
                  <c:v>27845.658132508994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BB14-4A57-8737-4E0E80552977}"/>
            </c:ext>
          </c:extLst>
        </c:ser>
        <c:ser>
          <c:idx val="147"/>
          <c:order val="14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RESULTS'!$B$150:$L$150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4564.3192400846674</c:v>
                </c:pt>
                <c:pt idx="2">
                  <c:v>9351.9821266326962</c:v>
                </c:pt>
                <c:pt idx="3">
                  <c:v>6989.097713058618</c:v>
                </c:pt>
                <c:pt idx="4">
                  <c:v>7353.4457576530331</c:v>
                </c:pt>
                <c:pt idx="5">
                  <c:v>15441.731065664419</c:v>
                </c:pt>
                <c:pt idx="6">
                  <c:v>22633.679768571703</c:v>
                </c:pt>
                <c:pt idx="7">
                  <c:v>22011.988760072931</c:v>
                </c:pt>
                <c:pt idx="8">
                  <c:v>19209.012255518086</c:v>
                </c:pt>
                <c:pt idx="9">
                  <c:v>25949.152881308059</c:v>
                </c:pt>
                <c:pt idx="10">
                  <c:v>44136.17464483506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BB14-4A57-8737-4E0E80552977}"/>
            </c:ext>
          </c:extLst>
        </c:ser>
        <c:ser>
          <c:idx val="148"/>
          <c:order val="14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RESULTS'!$B$151:$L$151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4642.5020466997667</c:v>
                </c:pt>
                <c:pt idx="2">
                  <c:v>3928.3986577557043</c:v>
                </c:pt>
                <c:pt idx="3">
                  <c:v>11077.457441862989</c:v>
                </c:pt>
                <c:pt idx="4">
                  <c:v>13651.972282495837</c:v>
                </c:pt>
                <c:pt idx="5">
                  <c:v>15691.086440479641</c:v>
                </c:pt>
                <c:pt idx="6">
                  <c:v>18019.514538376709</c:v>
                </c:pt>
                <c:pt idx="7">
                  <c:v>24477.50042930937</c:v>
                </c:pt>
                <c:pt idx="8">
                  <c:v>22027.635295578937</c:v>
                </c:pt>
                <c:pt idx="9">
                  <c:v>32348.713075192027</c:v>
                </c:pt>
                <c:pt idx="10">
                  <c:v>39508.885080453736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BB14-4A57-8737-4E0E80552977}"/>
            </c:ext>
          </c:extLst>
        </c:ser>
        <c:ser>
          <c:idx val="149"/>
          <c:order val="14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RESULTS'!$B$152:$L$152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6274.9630270336183</c:v>
                </c:pt>
                <c:pt idx="2">
                  <c:v>6835.6626264033312</c:v>
                </c:pt>
                <c:pt idx="3">
                  <c:v>10670.712562154677</c:v>
                </c:pt>
                <c:pt idx="4">
                  <c:v>17816.513933355804</c:v>
                </c:pt>
                <c:pt idx="5">
                  <c:v>19612.29356246852</c:v>
                </c:pt>
                <c:pt idx="6">
                  <c:v>15705.890710382646</c:v>
                </c:pt>
                <c:pt idx="7">
                  <c:v>11246.932764656696</c:v>
                </c:pt>
                <c:pt idx="8">
                  <c:v>18630.413268843149</c:v>
                </c:pt>
                <c:pt idx="9">
                  <c:v>31435.017823654125</c:v>
                </c:pt>
                <c:pt idx="10">
                  <c:v>30261.067850114443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BB14-4A57-8737-4E0E80552977}"/>
            </c:ext>
          </c:extLst>
        </c:ser>
        <c:ser>
          <c:idx val="150"/>
          <c:order val="15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RESULTS'!$B$153:$L$153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2074.854814459527</c:v>
                </c:pt>
                <c:pt idx="2">
                  <c:v>3060.4930627016338</c:v>
                </c:pt>
                <c:pt idx="3">
                  <c:v>5395.4028455551561</c:v>
                </c:pt>
                <c:pt idx="4">
                  <c:v>4491.5060399246468</c:v>
                </c:pt>
                <c:pt idx="5">
                  <c:v>2470.5241940513561</c:v>
                </c:pt>
                <c:pt idx="6">
                  <c:v>9116.4512364012662</c:v>
                </c:pt>
                <c:pt idx="7">
                  <c:v>14251.23756536092</c:v>
                </c:pt>
                <c:pt idx="8">
                  <c:v>22814.669298888231</c:v>
                </c:pt>
                <c:pt idx="9">
                  <c:v>38456.061543645948</c:v>
                </c:pt>
                <c:pt idx="10">
                  <c:v>53085.614058973762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BB14-4A57-8737-4E0E80552977}"/>
            </c:ext>
          </c:extLst>
        </c:ser>
        <c:ser>
          <c:idx val="151"/>
          <c:order val="15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RESULTS'!$B$154:$L$154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10328.358378363529</c:v>
                </c:pt>
                <c:pt idx="2">
                  <c:v>10353.005385680537</c:v>
                </c:pt>
                <c:pt idx="3">
                  <c:v>15215.718852591599</c:v>
                </c:pt>
                <c:pt idx="4">
                  <c:v>19268.815403287852</c:v>
                </c:pt>
                <c:pt idx="5">
                  <c:v>27810.164324646994</c:v>
                </c:pt>
                <c:pt idx="6">
                  <c:v>37244.41319891133</c:v>
                </c:pt>
                <c:pt idx="7">
                  <c:v>45263.326030429038</c:v>
                </c:pt>
                <c:pt idx="8">
                  <c:v>38386.159067958972</c:v>
                </c:pt>
                <c:pt idx="9">
                  <c:v>39349.414643497694</c:v>
                </c:pt>
                <c:pt idx="10">
                  <c:v>58284.079659049894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BB14-4A57-8737-4E0E80552977}"/>
            </c:ext>
          </c:extLst>
        </c:ser>
        <c:ser>
          <c:idx val="152"/>
          <c:order val="15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RESULTS'!$B$155:$L$155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6495.4319670811783</c:v>
                </c:pt>
                <c:pt idx="2">
                  <c:v>4554.2731321197498</c:v>
                </c:pt>
                <c:pt idx="3">
                  <c:v>4310.2423632047448</c:v>
                </c:pt>
                <c:pt idx="4">
                  <c:v>3440.8462651149894</c:v>
                </c:pt>
                <c:pt idx="5">
                  <c:v>7542.3487919738291</c:v>
                </c:pt>
                <c:pt idx="6">
                  <c:v>9688.6110357265989</c:v>
                </c:pt>
                <c:pt idx="7">
                  <c:v>8568.2557540445778</c:v>
                </c:pt>
                <c:pt idx="8">
                  <c:v>8524.0083685998761</c:v>
                </c:pt>
                <c:pt idx="9">
                  <c:v>6413.4029881360984</c:v>
                </c:pt>
                <c:pt idx="10">
                  <c:v>3230.3417273148279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BB14-4A57-8737-4E0E80552977}"/>
            </c:ext>
          </c:extLst>
        </c:ser>
        <c:ser>
          <c:idx val="153"/>
          <c:order val="15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RESULTS'!$B$156:$L$156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5709.0259585757431</c:v>
                </c:pt>
                <c:pt idx="2">
                  <c:v>12020.300540605043</c:v>
                </c:pt>
                <c:pt idx="3">
                  <c:v>12334.022453467958</c:v>
                </c:pt>
                <c:pt idx="4">
                  <c:v>14162.585870809271</c:v>
                </c:pt>
                <c:pt idx="5">
                  <c:v>10765.405447817979</c:v>
                </c:pt>
                <c:pt idx="6">
                  <c:v>6875.0785305506397</c:v>
                </c:pt>
                <c:pt idx="7">
                  <c:v>7718.2249058296784</c:v>
                </c:pt>
                <c:pt idx="8">
                  <c:v>4946.6378098383393</c:v>
                </c:pt>
                <c:pt idx="9">
                  <c:v>4459.5432439435226</c:v>
                </c:pt>
                <c:pt idx="10">
                  <c:v>8678.6561489610231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BB14-4A57-8737-4E0E80552977}"/>
            </c:ext>
          </c:extLst>
        </c:ser>
        <c:ser>
          <c:idx val="154"/>
          <c:order val="15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RESULTS'!$B$157:$L$157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12122.805766750789</c:v>
                </c:pt>
                <c:pt idx="2">
                  <c:v>10004.198673965357</c:v>
                </c:pt>
                <c:pt idx="3">
                  <c:v>1511.6941910836185</c:v>
                </c:pt>
                <c:pt idx="4">
                  <c:v>5227.6644354552154</c:v>
                </c:pt>
                <c:pt idx="5">
                  <c:v>8319.4675373752252</c:v>
                </c:pt>
                <c:pt idx="6">
                  <c:v>19013.77142571205</c:v>
                </c:pt>
                <c:pt idx="7">
                  <c:v>29132.078159145589</c:v>
                </c:pt>
                <c:pt idx="8">
                  <c:v>38428.725595961463</c:v>
                </c:pt>
                <c:pt idx="9">
                  <c:v>32589.076147397427</c:v>
                </c:pt>
                <c:pt idx="10">
                  <c:v>42645.384901195896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BB14-4A57-8737-4E0E80552977}"/>
            </c:ext>
          </c:extLst>
        </c:ser>
        <c:ser>
          <c:idx val="155"/>
          <c:order val="15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RESULTS'!$B$158:$L$158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3799.5161285546819</c:v>
                </c:pt>
                <c:pt idx="2">
                  <c:v>5293.4115635528124</c:v>
                </c:pt>
                <c:pt idx="3">
                  <c:v>6640.0539499788938</c:v>
                </c:pt>
                <c:pt idx="4">
                  <c:v>8241.3995552835513</c:v>
                </c:pt>
                <c:pt idx="5">
                  <c:v>7937.3272218322818</c:v>
                </c:pt>
                <c:pt idx="6">
                  <c:v>21225.116202504254</c:v>
                </c:pt>
                <c:pt idx="7">
                  <c:v>17398.747348621058</c:v>
                </c:pt>
                <c:pt idx="8">
                  <c:v>15053.303776911664</c:v>
                </c:pt>
                <c:pt idx="9">
                  <c:v>11447.373869892035</c:v>
                </c:pt>
                <c:pt idx="10">
                  <c:v>5449.2948557779146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BB14-4A57-8737-4E0E80552977}"/>
            </c:ext>
          </c:extLst>
        </c:ser>
        <c:ser>
          <c:idx val="156"/>
          <c:order val="15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RESULTS'!$B$159:$L$159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2673.4395677509738</c:v>
                </c:pt>
                <c:pt idx="2">
                  <c:v>3006.1688066833894</c:v>
                </c:pt>
                <c:pt idx="3">
                  <c:v>2632.6289388157084</c:v>
                </c:pt>
                <c:pt idx="4">
                  <c:v>3662.2218370829378</c:v>
                </c:pt>
                <c:pt idx="5">
                  <c:v>1264.5067588734646</c:v>
                </c:pt>
                <c:pt idx="6">
                  <c:v>492.00353814598475</c:v>
                </c:pt>
                <c:pt idx="7">
                  <c:v>-1143.45549605015</c:v>
                </c:pt>
                <c:pt idx="8">
                  <c:v>380.9391446843747</c:v>
                </c:pt>
                <c:pt idx="9">
                  <c:v>1258.440116900375</c:v>
                </c:pt>
                <c:pt idx="10">
                  <c:v>2564.7141291132775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BB14-4A57-8737-4E0E80552977}"/>
            </c:ext>
          </c:extLst>
        </c:ser>
        <c:ser>
          <c:idx val="157"/>
          <c:order val="15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RESULTS'!$B$160:$L$160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7424.3059609892116</c:v>
                </c:pt>
                <c:pt idx="2">
                  <c:v>7352.0407369264904</c:v>
                </c:pt>
                <c:pt idx="3">
                  <c:v>12998.839722065826</c:v>
                </c:pt>
                <c:pt idx="4">
                  <c:v>12825.059885603783</c:v>
                </c:pt>
                <c:pt idx="5">
                  <c:v>16863.626326081074</c:v>
                </c:pt>
                <c:pt idx="6">
                  <c:v>20956.699290736207</c:v>
                </c:pt>
                <c:pt idx="7">
                  <c:v>18981.778327799937</c:v>
                </c:pt>
                <c:pt idx="8">
                  <c:v>21257.205318814664</c:v>
                </c:pt>
                <c:pt idx="9">
                  <c:v>21013.849665813323</c:v>
                </c:pt>
                <c:pt idx="10">
                  <c:v>26683.846423605501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BB14-4A57-8737-4E0E80552977}"/>
            </c:ext>
          </c:extLst>
        </c:ser>
        <c:ser>
          <c:idx val="158"/>
          <c:order val="15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RESULTS'!$B$161:$L$161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2300.3911990388096</c:v>
                </c:pt>
                <c:pt idx="2">
                  <c:v>610.81238289914927</c:v>
                </c:pt>
                <c:pt idx="3">
                  <c:v>4343.6763605004417</c:v>
                </c:pt>
                <c:pt idx="4">
                  <c:v>1086.9449549246119</c:v>
                </c:pt>
                <c:pt idx="5">
                  <c:v>1858.8851747619237</c:v>
                </c:pt>
                <c:pt idx="6">
                  <c:v>25.918493485601175</c:v>
                </c:pt>
                <c:pt idx="7">
                  <c:v>2313.2146104771564</c:v>
                </c:pt>
                <c:pt idx="8">
                  <c:v>6578.0785976145908</c:v>
                </c:pt>
                <c:pt idx="9">
                  <c:v>6248.1071635381941</c:v>
                </c:pt>
                <c:pt idx="10">
                  <c:v>11599.291720250571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BB14-4A57-8737-4E0E80552977}"/>
            </c:ext>
          </c:extLst>
        </c:ser>
        <c:ser>
          <c:idx val="159"/>
          <c:order val="15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RESULTS'!$B$162:$L$162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5686.8286881259119</c:v>
                </c:pt>
                <c:pt idx="2">
                  <c:v>3834.4583445233311</c:v>
                </c:pt>
                <c:pt idx="3">
                  <c:v>3953.4280165897762</c:v>
                </c:pt>
                <c:pt idx="4">
                  <c:v>4633.1159076834992</c:v>
                </c:pt>
                <c:pt idx="5">
                  <c:v>4605.4071641954233</c:v>
                </c:pt>
                <c:pt idx="6">
                  <c:v>6601.1540055007317</c:v>
                </c:pt>
                <c:pt idx="7">
                  <c:v>7940.7913604858823</c:v>
                </c:pt>
                <c:pt idx="8">
                  <c:v>8795.6027710799735</c:v>
                </c:pt>
                <c:pt idx="9">
                  <c:v>8701.5929652832383</c:v>
                </c:pt>
                <c:pt idx="10">
                  <c:v>12840.057707818476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BB14-4A57-8737-4E0E80552977}"/>
            </c:ext>
          </c:extLst>
        </c:ser>
        <c:ser>
          <c:idx val="160"/>
          <c:order val="16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RESULTS'!$B$163:$L$163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3634.1834326290236</c:v>
                </c:pt>
                <c:pt idx="2">
                  <c:v>721.61360561664605</c:v>
                </c:pt>
                <c:pt idx="3">
                  <c:v>-210.87888169138841</c:v>
                </c:pt>
                <c:pt idx="4">
                  <c:v>-586.59428684432396</c:v>
                </c:pt>
                <c:pt idx="5">
                  <c:v>-1510.5904709802576</c:v>
                </c:pt>
                <c:pt idx="6">
                  <c:v>504.63144057125191</c:v>
                </c:pt>
                <c:pt idx="7">
                  <c:v>-236.57898552513507</c:v>
                </c:pt>
                <c:pt idx="8">
                  <c:v>1288.8055851967856</c:v>
                </c:pt>
                <c:pt idx="9">
                  <c:v>2690.2679579241521</c:v>
                </c:pt>
                <c:pt idx="10">
                  <c:v>4964.6285216222095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BB14-4A57-8737-4E0E80552977}"/>
            </c:ext>
          </c:extLst>
        </c:ser>
        <c:ser>
          <c:idx val="161"/>
          <c:order val="16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RESULTS'!$B$164:$L$164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11515.675153669858</c:v>
                </c:pt>
                <c:pt idx="2">
                  <c:v>13393.545120428189</c:v>
                </c:pt>
                <c:pt idx="3">
                  <c:v>10759.869335772455</c:v>
                </c:pt>
                <c:pt idx="4">
                  <c:v>19570.177962782509</c:v>
                </c:pt>
                <c:pt idx="5">
                  <c:v>16503.536322564763</c:v>
                </c:pt>
                <c:pt idx="6">
                  <c:v>15202.323036056179</c:v>
                </c:pt>
                <c:pt idx="7">
                  <c:v>20365.364595991883</c:v>
                </c:pt>
                <c:pt idx="8">
                  <c:v>21558.377063485103</c:v>
                </c:pt>
                <c:pt idx="9">
                  <c:v>32674.676651473819</c:v>
                </c:pt>
                <c:pt idx="10">
                  <c:v>67304.73900387311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BB14-4A57-8737-4E0E80552977}"/>
            </c:ext>
          </c:extLst>
        </c:ser>
        <c:ser>
          <c:idx val="162"/>
          <c:order val="16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RESULTS'!$B$165:$L$165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2609.6496528579619</c:v>
                </c:pt>
                <c:pt idx="2">
                  <c:v>1823.8605039117501</c:v>
                </c:pt>
                <c:pt idx="3">
                  <c:v>892.46941953141959</c:v>
                </c:pt>
                <c:pt idx="4">
                  <c:v>3581.8132882955897</c:v>
                </c:pt>
                <c:pt idx="5">
                  <c:v>3909.8337624539872</c:v>
                </c:pt>
                <c:pt idx="6">
                  <c:v>4892.5726423861342</c:v>
                </c:pt>
                <c:pt idx="7">
                  <c:v>5312.0491051865065</c:v>
                </c:pt>
                <c:pt idx="8">
                  <c:v>9333.7611565704756</c:v>
                </c:pt>
                <c:pt idx="9">
                  <c:v>7326.4385843583586</c:v>
                </c:pt>
                <c:pt idx="10">
                  <c:v>833.48572544573108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BB14-4A57-8737-4E0E80552977}"/>
            </c:ext>
          </c:extLst>
        </c:ser>
        <c:ser>
          <c:idx val="163"/>
          <c:order val="16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RESULTS'!$B$166:$L$166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2808.8239917149331</c:v>
                </c:pt>
                <c:pt idx="2">
                  <c:v>3138.3739494622469</c:v>
                </c:pt>
                <c:pt idx="3">
                  <c:v>3920.0906036815668</c:v>
                </c:pt>
                <c:pt idx="4">
                  <c:v>5271.7805096307802</c:v>
                </c:pt>
                <c:pt idx="5">
                  <c:v>4352.7914282547445</c:v>
                </c:pt>
                <c:pt idx="6">
                  <c:v>4917.3760193378403</c:v>
                </c:pt>
                <c:pt idx="7">
                  <c:v>4763.2959701322943</c:v>
                </c:pt>
                <c:pt idx="8">
                  <c:v>1001.2126748914379</c:v>
                </c:pt>
                <c:pt idx="9">
                  <c:v>2834.1294913812089</c:v>
                </c:pt>
                <c:pt idx="10">
                  <c:v>4652.2206417812231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BB14-4A57-8737-4E0E80552977}"/>
            </c:ext>
          </c:extLst>
        </c:ser>
        <c:ser>
          <c:idx val="164"/>
          <c:order val="16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RESULTS'!$B$167:$L$167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3656.3716715926803</c:v>
                </c:pt>
                <c:pt idx="2">
                  <c:v>7529.1913257787783</c:v>
                </c:pt>
                <c:pt idx="3">
                  <c:v>7502.1185383466236</c:v>
                </c:pt>
                <c:pt idx="4">
                  <c:v>4004.8249578350496</c:v>
                </c:pt>
                <c:pt idx="5">
                  <c:v>4701.1319438542214</c:v>
                </c:pt>
                <c:pt idx="6">
                  <c:v>4566.9403386998893</c:v>
                </c:pt>
                <c:pt idx="7">
                  <c:v>2453.5999489716123</c:v>
                </c:pt>
                <c:pt idx="8">
                  <c:v>-1158.1053021331918</c:v>
                </c:pt>
                <c:pt idx="9">
                  <c:v>111.68357347757774</c:v>
                </c:pt>
                <c:pt idx="10">
                  <c:v>847.39409363999312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BB14-4A57-8737-4E0E80552977}"/>
            </c:ext>
          </c:extLst>
        </c:ser>
        <c:ser>
          <c:idx val="165"/>
          <c:order val="16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RESULTS'!$B$168:$L$168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2791.1804849699038</c:v>
                </c:pt>
                <c:pt idx="2">
                  <c:v>6672.5821513633819</c:v>
                </c:pt>
                <c:pt idx="3">
                  <c:v>8559.1853950628793</c:v>
                </c:pt>
                <c:pt idx="4">
                  <c:v>7736.6821528399087</c:v>
                </c:pt>
                <c:pt idx="5">
                  <c:v>4603.9008126617373</c:v>
                </c:pt>
                <c:pt idx="6">
                  <c:v>2849.676516664832</c:v>
                </c:pt>
                <c:pt idx="7">
                  <c:v>1891.7110829759731</c:v>
                </c:pt>
                <c:pt idx="8">
                  <c:v>-43.676164155283914</c:v>
                </c:pt>
                <c:pt idx="9">
                  <c:v>-162.82734151269233</c:v>
                </c:pt>
                <c:pt idx="10">
                  <c:v>1336.8759896141928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5-BB14-4A57-8737-4E0E80552977}"/>
            </c:ext>
          </c:extLst>
        </c:ser>
        <c:ser>
          <c:idx val="166"/>
          <c:order val="16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RESULTS'!$B$169:$L$169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842.84641294792709</c:v>
                </c:pt>
                <c:pt idx="2">
                  <c:v>1229.5566953345042</c:v>
                </c:pt>
                <c:pt idx="3">
                  <c:v>0.59138357570463995</c:v>
                </c:pt>
                <c:pt idx="4">
                  <c:v>-438.56364446971747</c:v>
                </c:pt>
                <c:pt idx="5">
                  <c:v>134.6496960357872</c:v>
                </c:pt>
                <c:pt idx="6">
                  <c:v>1698.8118686088037</c:v>
                </c:pt>
                <c:pt idx="7">
                  <c:v>244.6563764213679</c:v>
                </c:pt>
                <c:pt idx="8">
                  <c:v>255.72303264249058</c:v>
                </c:pt>
                <c:pt idx="9">
                  <c:v>-231.32079417017303</c:v>
                </c:pt>
                <c:pt idx="10">
                  <c:v>1725.0961596129582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6-BB14-4A57-8737-4E0E80552977}"/>
            </c:ext>
          </c:extLst>
        </c:ser>
        <c:ser>
          <c:idx val="167"/>
          <c:order val="16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RESULTS'!$B$170:$L$170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4268.3459405893846</c:v>
                </c:pt>
                <c:pt idx="2">
                  <c:v>2795.006989533158</c:v>
                </c:pt>
                <c:pt idx="3">
                  <c:v>3849.4876736912738</c:v>
                </c:pt>
                <c:pt idx="4">
                  <c:v>3886.5018162417437</c:v>
                </c:pt>
                <c:pt idx="5">
                  <c:v>10326.222420082373</c:v>
                </c:pt>
                <c:pt idx="6">
                  <c:v>21069.053604469071</c:v>
                </c:pt>
                <c:pt idx="7">
                  <c:v>23720.13928796272</c:v>
                </c:pt>
                <c:pt idx="8">
                  <c:v>17245.789859573404</c:v>
                </c:pt>
                <c:pt idx="9">
                  <c:v>32810.386533548757</c:v>
                </c:pt>
                <c:pt idx="10">
                  <c:v>51402.41774888138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7-BB14-4A57-8737-4E0E80552977}"/>
            </c:ext>
          </c:extLst>
        </c:ser>
        <c:ser>
          <c:idx val="168"/>
          <c:order val="16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RESULTS'!$B$171:$L$171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4902.3894450549524</c:v>
                </c:pt>
                <c:pt idx="2">
                  <c:v>9467.5761505195096</c:v>
                </c:pt>
                <c:pt idx="3">
                  <c:v>6126.2819016949325</c:v>
                </c:pt>
                <c:pt idx="4">
                  <c:v>5812.8561671103835</c:v>
                </c:pt>
                <c:pt idx="5">
                  <c:v>6679.5817002855201</c:v>
                </c:pt>
                <c:pt idx="6">
                  <c:v>11025.667358960345</c:v>
                </c:pt>
                <c:pt idx="7">
                  <c:v>15693.221150288362</c:v>
                </c:pt>
                <c:pt idx="8">
                  <c:v>24060.567965923212</c:v>
                </c:pt>
                <c:pt idx="9">
                  <c:v>22700.48572779867</c:v>
                </c:pt>
                <c:pt idx="10">
                  <c:v>17883.50964818873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8-BB14-4A57-8737-4E0E80552977}"/>
            </c:ext>
          </c:extLst>
        </c:ser>
        <c:ser>
          <c:idx val="169"/>
          <c:order val="16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RESULTS'!$B$172:$L$172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9100.2425902890409</c:v>
                </c:pt>
                <c:pt idx="2">
                  <c:v>7510.3601101846616</c:v>
                </c:pt>
                <c:pt idx="3">
                  <c:v>8043.3497758085614</c:v>
                </c:pt>
                <c:pt idx="4">
                  <c:v>9776.3247705267913</c:v>
                </c:pt>
                <c:pt idx="5">
                  <c:v>13891.52872839952</c:v>
                </c:pt>
                <c:pt idx="6">
                  <c:v>9187.841318797542</c:v>
                </c:pt>
                <c:pt idx="7">
                  <c:v>8185.4137237704963</c:v>
                </c:pt>
                <c:pt idx="8">
                  <c:v>12808.693633841169</c:v>
                </c:pt>
                <c:pt idx="9">
                  <c:v>14661.8508827884</c:v>
                </c:pt>
                <c:pt idx="10">
                  <c:v>25250.719626132886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9-BB14-4A57-8737-4E0E80552977}"/>
            </c:ext>
          </c:extLst>
        </c:ser>
        <c:ser>
          <c:idx val="170"/>
          <c:order val="17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RESULTS'!$B$173:$L$173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4856.4249281984085</c:v>
                </c:pt>
                <c:pt idx="2">
                  <c:v>7066.6055069797676</c:v>
                </c:pt>
                <c:pt idx="3">
                  <c:v>10131.212099836803</c:v>
                </c:pt>
                <c:pt idx="4">
                  <c:v>9533.9860164124875</c:v>
                </c:pt>
                <c:pt idx="5">
                  <c:v>11002.044928462314</c:v>
                </c:pt>
                <c:pt idx="6">
                  <c:v>14213.453876476768</c:v>
                </c:pt>
                <c:pt idx="7">
                  <c:v>24600.410229482299</c:v>
                </c:pt>
                <c:pt idx="8">
                  <c:v>33787.299569685827</c:v>
                </c:pt>
                <c:pt idx="9">
                  <c:v>39608.658603571734</c:v>
                </c:pt>
                <c:pt idx="10">
                  <c:v>44548.888034197204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A-BB14-4A57-8737-4E0E80552977}"/>
            </c:ext>
          </c:extLst>
        </c:ser>
        <c:ser>
          <c:idx val="171"/>
          <c:order val="17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RESULTS'!$B$174:$L$174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6810.0447639520098</c:v>
                </c:pt>
                <c:pt idx="2">
                  <c:v>14847.797509687389</c:v>
                </c:pt>
                <c:pt idx="3">
                  <c:v>22465.007545123488</c:v>
                </c:pt>
                <c:pt idx="4">
                  <c:v>16243.324583391568</c:v>
                </c:pt>
                <c:pt idx="5">
                  <c:v>33380.632787735682</c:v>
                </c:pt>
                <c:pt idx="6">
                  <c:v>38872.558365512348</c:v>
                </c:pt>
                <c:pt idx="7">
                  <c:v>58735.195965218008</c:v>
                </c:pt>
                <c:pt idx="8">
                  <c:v>58667.477338348224</c:v>
                </c:pt>
                <c:pt idx="9">
                  <c:v>37368.344476253078</c:v>
                </c:pt>
                <c:pt idx="10">
                  <c:v>43268.553807001597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BB14-4A57-8737-4E0E80552977}"/>
            </c:ext>
          </c:extLst>
        </c:ser>
        <c:ser>
          <c:idx val="172"/>
          <c:order val="17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RESULTS'!$B$175:$L$175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4082.1165738886975</c:v>
                </c:pt>
                <c:pt idx="2">
                  <c:v>6902.944275447373</c:v>
                </c:pt>
                <c:pt idx="3">
                  <c:v>9432.4143380743772</c:v>
                </c:pt>
                <c:pt idx="4">
                  <c:v>16230.374992585395</c:v>
                </c:pt>
                <c:pt idx="5">
                  <c:v>14783.515090560239</c:v>
                </c:pt>
                <c:pt idx="6">
                  <c:v>11704.540679213535</c:v>
                </c:pt>
                <c:pt idx="7">
                  <c:v>14855.30636136905</c:v>
                </c:pt>
                <c:pt idx="8">
                  <c:v>13080.298001026036</c:v>
                </c:pt>
                <c:pt idx="9">
                  <c:v>3295.6626160109763</c:v>
                </c:pt>
                <c:pt idx="10">
                  <c:v>2822.0002399656169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C-BB14-4A57-8737-4E0E80552977}"/>
            </c:ext>
          </c:extLst>
        </c:ser>
        <c:ser>
          <c:idx val="173"/>
          <c:order val="17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RESULTS'!$B$176:$L$176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3851.1914627916831</c:v>
                </c:pt>
                <c:pt idx="2">
                  <c:v>6267.5016682067489</c:v>
                </c:pt>
                <c:pt idx="3">
                  <c:v>4848.5179615967118</c:v>
                </c:pt>
                <c:pt idx="4">
                  <c:v>6932.657825007831</c:v>
                </c:pt>
                <c:pt idx="5">
                  <c:v>6225.6380113916221</c:v>
                </c:pt>
                <c:pt idx="6">
                  <c:v>4031.8699294146372</c:v>
                </c:pt>
                <c:pt idx="7">
                  <c:v>7121.9328290603553</c:v>
                </c:pt>
                <c:pt idx="8">
                  <c:v>8747.10077625138</c:v>
                </c:pt>
                <c:pt idx="9">
                  <c:v>11772.012603918332</c:v>
                </c:pt>
                <c:pt idx="10">
                  <c:v>10529.181598023959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D-BB14-4A57-8737-4E0E80552977}"/>
            </c:ext>
          </c:extLst>
        </c:ser>
        <c:ser>
          <c:idx val="174"/>
          <c:order val="17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RESULTS'!$B$177:$L$177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1779.3599552306505</c:v>
                </c:pt>
                <c:pt idx="2">
                  <c:v>4731.372005779438</c:v>
                </c:pt>
                <c:pt idx="3">
                  <c:v>2132.6852142729504</c:v>
                </c:pt>
                <c:pt idx="4">
                  <c:v>1221.1166573713808</c:v>
                </c:pt>
                <c:pt idx="5">
                  <c:v>2767.1756501227719</c:v>
                </c:pt>
                <c:pt idx="6">
                  <c:v>1405.001524604465</c:v>
                </c:pt>
                <c:pt idx="7">
                  <c:v>881.11549814324553</c:v>
                </c:pt>
                <c:pt idx="8">
                  <c:v>2037.3700117842263</c:v>
                </c:pt>
                <c:pt idx="9">
                  <c:v>2092.6056680956117</c:v>
                </c:pt>
                <c:pt idx="10">
                  <c:v>356.39505751692286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E-BB14-4A57-8737-4E0E80552977}"/>
            </c:ext>
          </c:extLst>
        </c:ser>
        <c:ser>
          <c:idx val="175"/>
          <c:order val="17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RESULTS'!$B$178:$L$178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6437.1701427411099</c:v>
                </c:pt>
                <c:pt idx="2">
                  <c:v>1266.5782693736337</c:v>
                </c:pt>
                <c:pt idx="3">
                  <c:v>2466.9009724872822</c:v>
                </c:pt>
                <c:pt idx="4">
                  <c:v>5896.0733140144421</c:v>
                </c:pt>
                <c:pt idx="5">
                  <c:v>5733.1945736069702</c:v>
                </c:pt>
                <c:pt idx="6">
                  <c:v>8966.4117875587599</c:v>
                </c:pt>
                <c:pt idx="7">
                  <c:v>6663.0484013866771</c:v>
                </c:pt>
                <c:pt idx="8">
                  <c:v>8621.0575066360943</c:v>
                </c:pt>
                <c:pt idx="9">
                  <c:v>3930.2822720960448</c:v>
                </c:pt>
                <c:pt idx="10">
                  <c:v>6966.7637841592059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F-BB14-4A57-8737-4E0E80552977}"/>
            </c:ext>
          </c:extLst>
        </c:ser>
        <c:ser>
          <c:idx val="176"/>
          <c:order val="17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RESULTS'!$B$179:$L$179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3444.8866445716603</c:v>
                </c:pt>
                <c:pt idx="2">
                  <c:v>5386.3631309776265</c:v>
                </c:pt>
                <c:pt idx="3">
                  <c:v>1995.9052346240933</c:v>
                </c:pt>
                <c:pt idx="4">
                  <c:v>1360.4584779340375</c:v>
                </c:pt>
                <c:pt idx="5">
                  <c:v>1474.8946065548807</c:v>
                </c:pt>
                <c:pt idx="6">
                  <c:v>2213.0587214772677</c:v>
                </c:pt>
                <c:pt idx="7">
                  <c:v>3024.2359761087673</c:v>
                </c:pt>
                <c:pt idx="8">
                  <c:v>3700.4936119362701</c:v>
                </c:pt>
                <c:pt idx="9">
                  <c:v>2202.2976705263054</c:v>
                </c:pt>
                <c:pt idx="10">
                  <c:v>451.85275292414553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0-BB14-4A57-8737-4E0E80552977}"/>
            </c:ext>
          </c:extLst>
        </c:ser>
        <c:ser>
          <c:idx val="177"/>
          <c:order val="17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RESULTS'!$B$180:$L$180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12139.090275191073</c:v>
                </c:pt>
                <c:pt idx="2">
                  <c:v>15771.84627881374</c:v>
                </c:pt>
                <c:pt idx="3">
                  <c:v>17160.243386343671</c:v>
                </c:pt>
                <c:pt idx="4">
                  <c:v>11726.780027785358</c:v>
                </c:pt>
                <c:pt idx="5">
                  <c:v>8882.7556202990454</c:v>
                </c:pt>
                <c:pt idx="6">
                  <c:v>12799.441090732584</c:v>
                </c:pt>
                <c:pt idx="7">
                  <c:v>19081.106186279419</c:v>
                </c:pt>
                <c:pt idx="8">
                  <c:v>20439.402928672051</c:v>
                </c:pt>
                <c:pt idx="9">
                  <c:v>30807.773985502339</c:v>
                </c:pt>
                <c:pt idx="10">
                  <c:v>36119.416999335212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1-BB14-4A57-8737-4E0E80552977}"/>
            </c:ext>
          </c:extLst>
        </c:ser>
        <c:ser>
          <c:idx val="178"/>
          <c:order val="17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RESULTS'!$B$181:$L$181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5750.8861807300109</c:v>
                </c:pt>
                <c:pt idx="2">
                  <c:v>8330.1064081688819</c:v>
                </c:pt>
                <c:pt idx="3">
                  <c:v>8034.6736094819462</c:v>
                </c:pt>
                <c:pt idx="4">
                  <c:v>5458.8136036931191</c:v>
                </c:pt>
                <c:pt idx="5">
                  <c:v>7784.1230913158379</c:v>
                </c:pt>
                <c:pt idx="6">
                  <c:v>5387.7529050717148</c:v>
                </c:pt>
                <c:pt idx="7">
                  <c:v>7343.4775086544232</c:v>
                </c:pt>
                <c:pt idx="8">
                  <c:v>7646.2399020925659</c:v>
                </c:pt>
                <c:pt idx="9">
                  <c:v>10605.58889528213</c:v>
                </c:pt>
                <c:pt idx="10">
                  <c:v>16265.088276148541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2-BB14-4A57-8737-4E0E80552977}"/>
            </c:ext>
          </c:extLst>
        </c:ser>
        <c:ser>
          <c:idx val="179"/>
          <c:order val="17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RESULTS'!$B$182:$L$182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4369.9487087417419</c:v>
                </c:pt>
                <c:pt idx="2">
                  <c:v>6821.3225183981558</c:v>
                </c:pt>
                <c:pt idx="3">
                  <c:v>8339.0993274839093</c:v>
                </c:pt>
                <c:pt idx="4">
                  <c:v>8004.2700527494198</c:v>
                </c:pt>
                <c:pt idx="5">
                  <c:v>3770.997479075615</c:v>
                </c:pt>
                <c:pt idx="6">
                  <c:v>5220.5811451524078</c:v>
                </c:pt>
                <c:pt idx="7">
                  <c:v>2441.7055671871512</c:v>
                </c:pt>
                <c:pt idx="8">
                  <c:v>4079.1854413337896</c:v>
                </c:pt>
                <c:pt idx="9">
                  <c:v>-892.72958863642816</c:v>
                </c:pt>
                <c:pt idx="10">
                  <c:v>-1318.4808747303059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3-BB14-4A57-8737-4E0E80552977}"/>
            </c:ext>
          </c:extLst>
        </c:ser>
        <c:ser>
          <c:idx val="180"/>
          <c:order val="18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RESULTS'!$B$183:$L$183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7797.7032181233208</c:v>
                </c:pt>
                <c:pt idx="2">
                  <c:v>13239.803371828795</c:v>
                </c:pt>
                <c:pt idx="3">
                  <c:v>3259.7431464791625</c:v>
                </c:pt>
                <c:pt idx="4">
                  <c:v>10866.577868121394</c:v>
                </c:pt>
                <c:pt idx="5">
                  <c:v>10767.082112980008</c:v>
                </c:pt>
                <c:pt idx="6">
                  <c:v>15665.713504687967</c:v>
                </c:pt>
                <c:pt idx="7">
                  <c:v>19132.812147351357</c:v>
                </c:pt>
                <c:pt idx="8">
                  <c:v>24076.724633838548</c:v>
                </c:pt>
                <c:pt idx="9">
                  <c:v>33136.921844808625</c:v>
                </c:pt>
                <c:pt idx="10">
                  <c:v>24994.572737836279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BB14-4A57-8737-4E0E80552977}"/>
            </c:ext>
          </c:extLst>
        </c:ser>
        <c:ser>
          <c:idx val="181"/>
          <c:order val="18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RESULTS'!$B$184:$L$184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2900.8771397394776</c:v>
                </c:pt>
                <c:pt idx="2">
                  <c:v>893.90834590632949</c:v>
                </c:pt>
                <c:pt idx="3">
                  <c:v>3014.9699323929417</c:v>
                </c:pt>
                <c:pt idx="4">
                  <c:v>4396.568319299613</c:v>
                </c:pt>
                <c:pt idx="5">
                  <c:v>4420.5977475768996</c:v>
                </c:pt>
                <c:pt idx="6">
                  <c:v>7169.6260238535833</c:v>
                </c:pt>
                <c:pt idx="7">
                  <c:v>9289.6906742271094</c:v>
                </c:pt>
                <c:pt idx="8">
                  <c:v>14448.768082782288</c:v>
                </c:pt>
                <c:pt idx="9">
                  <c:v>9357.8494876072491</c:v>
                </c:pt>
                <c:pt idx="10">
                  <c:v>20778.943287540082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5-BB14-4A57-8737-4E0E80552977}"/>
            </c:ext>
          </c:extLst>
        </c:ser>
        <c:ser>
          <c:idx val="182"/>
          <c:order val="18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RESULTS'!$B$185:$L$185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12529.996365448722</c:v>
                </c:pt>
                <c:pt idx="2">
                  <c:v>22447.571600526986</c:v>
                </c:pt>
                <c:pt idx="3">
                  <c:v>27044.42741615804</c:v>
                </c:pt>
                <c:pt idx="4">
                  <c:v>29098.622446875415</c:v>
                </c:pt>
                <c:pt idx="5">
                  <c:v>39208.253790453535</c:v>
                </c:pt>
                <c:pt idx="6">
                  <c:v>52815.752928076981</c:v>
                </c:pt>
                <c:pt idx="7">
                  <c:v>62461.902025331336</c:v>
                </c:pt>
                <c:pt idx="8">
                  <c:v>92078.861480486245</c:v>
                </c:pt>
                <c:pt idx="9">
                  <c:v>139267.83252134445</c:v>
                </c:pt>
                <c:pt idx="10">
                  <c:v>222023.69848617265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6-BB14-4A57-8737-4E0E80552977}"/>
            </c:ext>
          </c:extLst>
        </c:ser>
        <c:ser>
          <c:idx val="183"/>
          <c:order val="18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RESULTS'!$B$186:$L$186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3624.9323144714081</c:v>
                </c:pt>
                <c:pt idx="2">
                  <c:v>5107.8955358497515</c:v>
                </c:pt>
                <c:pt idx="3">
                  <c:v>10307.047589192927</c:v>
                </c:pt>
                <c:pt idx="4">
                  <c:v>4279.1805076205346</c:v>
                </c:pt>
                <c:pt idx="5">
                  <c:v>6543.5884137894645</c:v>
                </c:pt>
                <c:pt idx="6">
                  <c:v>5373.2412663171017</c:v>
                </c:pt>
                <c:pt idx="7">
                  <c:v>3769.7004729650944</c:v>
                </c:pt>
                <c:pt idx="8">
                  <c:v>3524.4048421300477</c:v>
                </c:pt>
                <c:pt idx="9">
                  <c:v>-591.41828369692666</c:v>
                </c:pt>
                <c:pt idx="10">
                  <c:v>-916.42066239340784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7-BB14-4A57-8737-4E0E80552977}"/>
            </c:ext>
          </c:extLst>
        </c:ser>
        <c:ser>
          <c:idx val="184"/>
          <c:order val="18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RESULTS'!$B$187:$L$187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5400.8699306902672</c:v>
                </c:pt>
                <c:pt idx="2">
                  <c:v>5113.0560416828885</c:v>
                </c:pt>
                <c:pt idx="3">
                  <c:v>4618.1229622051742</c:v>
                </c:pt>
                <c:pt idx="4">
                  <c:v>-1637.6222533540031</c:v>
                </c:pt>
                <c:pt idx="5">
                  <c:v>780.1919561390996</c:v>
                </c:pt>
                <c:pt idx="6">
                  <c:v>2916.9673984265319</c:v>
                </c:pt>
                <c:pt idx="7">
                  <c:v>2144.0648593565647</c:v>
                </c:pt>
                <c:pt idx="8">
                  <c:v>75.347932740360193</c:v>
                </c:pt>
                <c:pt idx="9">
                  <c:v>1446.9870167965928</c:v>
                </c:pt>
                <c:pt idx="10">
                  <c:v>2094.2215857767778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8-BB14-4A57-8737-4E0E80552977}"/>
            </c:ext>
          </c:extLst>
        </c:ser>
        <c:ser>
          <c:idx val="185"/>
          <c:order val="18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RESULTS'!$B$188:$L$188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3251.0764866657319</c:v>
                </c:pt>
                <c:pt idx="2">
                  <c:v>2759.6547992001424</c:v>
                </c:pt>
                <c:pt idx="3">
                  <c:v>4538.0813185312018</c:v>
                </c:pt>
                <c:pt idx="4">
                  <c:v>4299.5855305975238</c:v>
                </c:pt>
                <c:pt idx="5">
                  <c:v>4783.6161658404744</c:v>
                </c:pt>
                <c:pt idx="6">
                  <c:v>8555.2625557506726</c:v>
                </c:pt>
                <c:pt idx="7">
                  <c:v>5928.4721781477801</c:v>
                </c:pt>
                <c:pt idx="8">
                  <c:v>10799.640795556104</c:v>
                </c:pt>
                <c:pt idx="9">
                  <c:v>15109.055919179023</c:v>
                </c:pt>
                <c:pt idx="10">
                  <c:v>12297.308654207773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9-BB14-4A57-8737-4E0E80552977}"/>
            </c:ext>
          </c:extLst>
        </c:ser>
        <c:ser>
          <c:idx val="186"/>
          <c:order val="18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RESULTS'!$B$189:$L$189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9199.1580866731147</c:v>
                </c:pt>
                <c:pt idx="2">
                  <c:v>11188.309471198272</c:v>
                </c:pt>
                <c:pt idx="3">
                  <c:v>15145.403369042098</c:v>
                </c:pt>
                <c:pt idx="4">
                  <c:v>7013.3038057814319</c:v>
                </c:pt>
                <c:pt idx="5">
                  <c:v>16009.645261911748</c:v>
                </c:pt>
                <c:pt idx="6">
                  <c:v>23107.398176612885</c:v>
                </c:pt>
                <c:pt idx="7">
                  <c:v>25217.792475543181</c:v>
                </c:pt>
                <c:pt idx="8">
                  <c:v>25336.488596492803</c:v>
                </c:pt>
                <c:pt idx="9">
                  <c:v>31399.761852544703</c:v>
                </c:pt>
                <c:pt idx="10">
                  <c:v>41291.437584641964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A-BB14-4A57-8737-4E0E80552977}"/>
            </c:ext>
          </c:extLst>
        </c:ser>
        <c:ser>
          <c:idx val="187"/>
          <c:order val="18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RESULTS'!$B$190:$L$190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11185.925967182211</c:v>
                </c:pt>
                <c:pt idx="2">
                  <c:v>8241.2067696570521</c:v>
                </c:pt>
                <c:pt idx="3">
                  <c:v>8646.5758958683564</c:v>
                </c:pt>
                <c:pt idx="4">
                  <c:v>8793.3432390428461</c:v>
                </c:pt>
                <c:pt idx="5">
                  <c:v>10916.268711107045</c:v>
                </c:pt>
                <c:pt idx="6">
                  <c:v>21765.768031914424</c:v>
                </c:pt>
                <c:pt idx="7">
                  <c:v>25097.457026364078</c:v>
                </c:pt>
                <c:pt idx="8">
                  <c:v>30106.77671160474</c:v>
                </c:pt>
                <c:pt idx="9">
                  <c:v>42350.878219548664</c:v>
                </c:pt>
                <c:pt idx="10">
                  <c:v>47738.401111783387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B-BB14-4A57-8737-4E0E80552977}"/>
            </c:ext>
          </c:extLst>
        </c:ser>
        <c:ser>
          <c:idx val="188"/>
          <c:order val="18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RESULTS'!$B$191:$L$191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8090.1888834407218</c:v>
                </c:pt>
                <c:pt idx="2">
                  <c:v>13973.030197939977</c:v>
                </c:pt>
                <c:pt idx="3">
                  <c:v>12779.831543928536</c:v>
                </c:pt>
                <c:pt idx="4">
                  <c:v>16765.978279438652</c:v>
                </c:pt>
                <c:pt idx="5">
                  <c:v>26753.306327324131</c:v>
                </c:pt>
                <c:pt idx="6">
                  <c:v>21986.231660372323</c:v>
                </c:pt>
                <c:pt idx="7">
                  <c:v>27459.496955896859</c:v>
                </c:pt>
                <c:pt idx="8">
                  <c:v>37651.602311265393</c:v>
                </c:pt>
                <c:pt idx="9">
                  <c:v>39037.698722508583</c:v>
                </c:pt>
                <c:pt idx="10">
                  <c:v>40057.906591307154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C-BB14-4A57-8737-4E0E80552977}"/>
            </c:ext>
          </c:extLst>
        </c:ser>
        <c:ser>
          <c:idx val="189"/>
          <c:order val="18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RESULTS'!$B$192:$L$192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3826.6744917589094</c:v>
                </c:pt>
                <c:pt idx="2">
                  <c:v>662.75057144631501</c:v>
                </c:pt>
                <c:pt idx="3">
                  <c:v>1736.1088583450537</c:v>
                </c:pt>
                <c:pt idx="4">
                  <c:v>5706.2959301254396</c:v>
                </c:pt>
                <c:pt idx="5">
                  <c:v>5303.5030432515632</c:v>
                </c:pt>
                <c:pt idx="6">
                  <c:v>8172.04412361303</c:v>
                </c:pt>
                <c:pt idx="7">
                  <c:v>2524.2871665855509</c:v>
                </c:pt>
                <c:pt idx="8">
                  <c:v>3811.6274989908106</c:v>
                </c:pt>
                <c:pt idx="9">
                  <c:v>4761.8708337905227</c:v>
                </c:pt>
                <c:pt idx="10">
                  <c:v>8096.6564619903511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D-BB14-4A57-8737-4E0E80552977}"/>
            </c:ext>
          </c:extLst>
        </c:ser>
        <c:ser>
          <c:idx val="190"/>
          <c:order val="19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RESULTS'!$B$193:$L$193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3598.4949312303497</c:v>
                </c:pt>
                <c:pt idx="2">
                  <c:v>2759.2410414917213</c:v>
                </c:pt>
                <c:pt idx="3">
                  <c:v>4500.5888661426361</c:v>
                </c:pt>
                <c:pt idx="4">
                  <c:v>623.43171744753636</c:v>
                </c:pt>
                <c:pt idx="5">
                  <c:v>2279.5046008254894</c:v>
                </c:pt>
                <c:pt idx="6">
                  <c:v>5453.1428739072999</c:v>
                </c:pt>
                <c:pt idx="7">
                  <c:v>2396.4503268041835</c:v>
                </c:pt>
                <c:pt idx="8">
                  <c:v>2684.07291276248</c:v>
                </c:pt>
                <c:pt idx="9">
                  <c:v>1494.9173078253043</c:v>
                </c:pt>
                <c:pt idx="10">
                  <c:v>318.54038483070781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E-BB14-4A57-8737-4E0E80552977}"/>
            </c:ext>
          </c:extLst>
        </c:ser>
        <c:ser>
          <c:idx val="191"/>
          <c:order val="19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RESULTS'!$B$194:$L$194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5796.6580598268829</c:v>
                </c:pt>
                <c:pt idx="2">
                  <c:v>5654.2410838045926</c:v>
                </c:pt>
                <c:pt idx="3">
                  <c:v>3331.7184610311733</c:v>
                </c:pt>
                <c:pt idx="4">
                  <c:v>2637.19980752215</c:v>
                </c:pt>
                <c:pt idx="5">
                  <c:v>5330.2814052478152</c:v>
                </c:pt>
                <c:pt idx="6">
                  <c:v>2661.208369761237</c:v>
                </c:pt>
                <c:pt idx="7">
                  <c:v>6538.245390019636</c:v>
                </c:pt>
                <c:pt idx="8">
                  <c:v>4870.2592068621161</c:v>
                </c:pt>
                <c:pt idx="9">
                  <c:v>4125.3198028009901</c:v>
                </c:pt>
                <c:pt idx="10">
                  <c:v>5408.9042774792742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F-BB14-4A57-8737-4E0E80552977}"/>
            </c:ext>
          </c:extLst>
        </c:ser>
        <c:ser>
          <c:idx val="192"/>
          <c:order val="19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RESULTS'!$B$195:$L$195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8207.9788170862412</c:v>
                </c:pt>
                <c:pt idx="2">
                  <c:v>9050.6701602373905</c:v>
                </c:pt>
                <c:pt idx="3">
                  <c:v>9414.0437930528697</c:v>
                </c:pt>
                <c:pt idx="4">
                  <c:v>12568.20363512927</c:v>
                </c:pt>
                <c:pt idx="5">
                  <c:v>18711.04802443345</c:v>
                </c:pt>
                <c:pt idx="6">
                  <c:v>24608.206760268829</c:v>
                </c:pt>
                <c:pt idx="7">
                  <c:v>30996.419002217495</c:v>
                </c:pt>
                <c:pt idx="8">
                  <c:v>45520.327856118514</c:v>
                </c:pt>
                <c:pt idx="9">
                  <c:v>41545.325324515194</c:v>
                </c:pt>
                <c:pt idx="10">
                  <c:v>48070.273537713321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0-BB14-4A57-8737-4E0E80552977}"/>
            </c:ext>
          </c:extLst>
        </c:ser>
        <c:ser>
          <c:idx val="193"/>
          <c:order val="19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RESULTS'!$B$196:$L$196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5133.9432466309299</c:v>
                </c:pt>
                <c:pt idx="2">
                  <c:v>5973.2261142702864</c:v>
                </c:pt>
                <c:pt idx="3">
                  <c:v>10816.477652718024</c:v>
                </c:pt>
                <c:pt idx="4">
                  <c:v>9575.9095961212952</c:v>
                </c:pt>
                <c:pt idx="5">
                  <c:v>10649.461785570995</c:v>
                </c:pt>
                <c:pt idx="6">
                  <c:v>10017.041835946828</c:v>
                </c:pt>
                <c:pt idx="7">
                  <c:v>13139.668023367474</c:v>
                </c:pt>
                <c:pt idx="8">
                  <c:v>16891.679626997648</c:v>
                </c:pt>
                <c:pt idx="9">
                  <c:v>36554.425502410159</c:v>
                </c:pt>
                <c:pt idx="10">
                  <c:v>52179.203323205125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1-BB14-4A57-8737-4E0E80552977}"/>
            </c:ext>
          </c:extLst>
        </c:ser>
        <c:ser>
          <c:idx val="194"/>
          <c:order val="19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RESULTS'!$B$197:$L$197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5203.3202417229113</c:v>
                </c:pt>
                <c:pt idx="2">
                  <c:v>5433.3948992234582</c:v>
                </c:pt>
                <c:pt idx="3">
                  <c:v>13740.746012374253</c:v>
                </c:pt>
                <c:pt idx="4">
                  <c:v>14501.446437226205</c:v>
                </c:pt>
                <c:pt idx="5">
                  <c:v>5651.2689848225509</c:v>
                </c:pt>
                <c:pt idx="6">
                  <c:v>8268.9172868040296</c:v>
                </c:pt>
                <c:pt idx="7">
                  <c:v>11800.935749915643</c:v>
                </c:pt>
                <c:pt idx="8">
                  <c:v>11434.884002313403</c:v>
                </c:pt>
                <c:pt idx="9">
                  <c:v>11139.421498566793</c:v>
                </c:pt>
                <c:pt idx="10">
                  <c:v>9375.0627900123982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2-BB14-4A57-8737-4E0E80552977}"/>
            </c:ext>
          </c:extLst>
        </c:ser>
        <c:ser>
          <c:idx val="195"/>
          <c:order val="19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RESULTS'!$B$198:$L$198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3403.2480865961716</c:v>
                </c:pt>
                <c:pt idx="2">
                  <c:v>745.98947388406486</c:v>
                </c:pt>
                <c:pt idx="3">
                  <c:v>2204.824757102595</c:v>
                </c:pt>
                <c:pt idx="4">
                  <c:v>4223.7200515260884</c:v>
                </c:pt>
                <c:pt idx="5">
                  <c:v>8078.4358877472878</c:v>
                </c:pt>
                <c:pt idx="6">
                  <c:v>6958.4303872207965</c:v>
                </c:pt>
                <c:pt idx="7">
                  <c:v>11824.865761404097</c:v>
                </c:pt>
                <c:pt idx="8">
                  <c:v>19761.463763717296</c:v>
                </c:pt>
                <c:pt idx="9">
                  <c:v>26116.71291873623</c:v>
                </c:pt>
                <c:pt idx="10">
                  <c:v>32283.823931794846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3-BB14-4A57-8737-4E0E80552977}"/>
            </c:ext>
          </c:extLst>
        </c:ser>
        <c:ser>
          <c:idx val="196"/>
          <c:order val="19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RESULTS'!$B$199:$L$199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51.176623930463393</c:v>
                </c:pt>
                <c:pt idx="2">
                  <c:v>1514.325197058397</c:v>
                </c:pt>
                <c:pt idx="3">
                  <c:v>2032.5271287884616</c:v>
                </c:pt>
                <c:pt idx="4">
                  <c:v>4100.2291315637576</c:v>
                </c:pt>
                <c:pt idx="5">
                  <c:v>8376.8158943454619</c:v>
                </c:pt>
                <c:pt idx="6">
                  <c:v>10048.668759564918</c:v>
                </c:pt>
                <c:pt idx="7">
                  <c:v>8673.6250900638315</c:v>
                </c:pt>
                <c:pt idx="8">
                  <c:v>9701.6642383708095</c:v>
                </c:pt>
                <c:pt idx="9">
                  <c:v>8519.6463695392758</c:v>
                </c:pt>
                <c:pt idx="10">
                  <c:v>12085.538202966647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4-BB14-4A57-8737-4E0E80552977}"/>
            </c:ext>
          </c:extLst>
        </c:ser>
        <c:ser>
          <c:idx val="197"/>
          <c:order val="19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RESULTS'!$B$200:$L$200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2634.4238875832289</c:v>
                </c:pt>
                <c:pt idx="2">
                  <c:v>4706.5998997448842</c:v>
                </c:pt>
                <c:pt idx="3">
                  <c:v>7165.4961311141324</c:v>
                </c:pt>
                <c:pt idx="4">
                  <c:v>10463.379550429268</c:v>
                </c:pt>
                <c:pt idx="5">
                  <c:v>11576.646387104245</c:v>
                </c:pt>
                <c:pt idx="6">
                  <c:v>17390.801872728462</c:v>
                </c:pt>
                <c:pt idx="7">
                  <c:v>14819.634098761435</c:v>
                </c:pt>
                <c:pt idx="8">
                  <c:v>15313.224829947852</c:v>
                </c:pt>
                <c:pt idx="9">
                  <c:v>24514.469406733017</c:v>
                </c:pt>
                <c:pt idx="10">
                  <c:v>33877.466355717603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5-BB14-4A57-8737-4E0E80552977}"/>
            </c:ext>
          </c:extLst>
        </c:ser>
        <c:ser>
          <c:idx val="198"/>
          <c:order val="19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RESULTS'!$B$201:$L$201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11245.52534320421</c:v>
                </c:pt>
                <c:pt idx="2">
                  <c:v>16226.978012830004</c:v>
                </c:pt>
                <c:pt idx="3">
                  <c:v>19003.951807256723</c:v>
                </c:pt>
                <c:pt idx="4">
                  <c:v>18827.080547810641</c:v>
                </c:pt>
                <c:pt idx="5">
                  <c:v>24823.751240159207</c:v>
                </c:pt>
                <c:pt idx="6">
                  <c:v>33624.445629974107</c:v>
                </c:pt>
                <c:pt idx="7">
                  <c:v>60498.066838923914</c:v>
                </c:pt>
                <c:pt idx="8">
                  <c:v>70620.157660147175</c:v>
                </c:pt>
                <c:pt idx="9">
                  <c:v>66757.118392425851</c:v>
                </c:pt>
                <c:pt idx="10">
                  <c:v>94698.365162441332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6-BB14-4A57-8737-4E0E80552977}"/>
            </c:ext>
          </c:extLst>
        </c:ser>
        <c:ser>
          <c:idx val="199"/>
          <c:order val="19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RESULTS'!$B$202:$L$202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7272.3110194756373</c:v>
                </c:pt>
                <c:pt idx="2">
                  <c:v>12411.075400015947</c:v>
                </c:pt>
                <c:pt idx="3">
                  <c:v>13753.082717515896</c:v>
                </c:pt>
                <c:pt idx="4">
                  <c:v>12979.140664568669</c:v>
                </c:pt>
                <c:pt idx="5">
                  <c:v>21795.140271826545</c:v>
                </c:pt>
                <c:pt idx="6">
                  <c:v>17451.188403704658</c:v>
                </c:pt>
                <c:pt idx="7">
                  <c:v>18555.02278979676</c:v>
                </c:pt>
                <c:pt idx="8">
                  <c:v>18904.775206259408</c:v>
                </c:pt>
                <c:pt idx="9">
                  <c:v>19780.533176227018</c:v>
                </c:pt>
                <c:pt idx="10">
                  <c:v>25890.361770730731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7-BB14-4A57-8737-4E0E80552977}"/>
            </c:ext>
          </c:extLst>
        </c:ser>
        <c:ser>
          <c:idx val="200"/>
          <c:order val="20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RESULTS'!$B$203:$L$203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3692.8547741850089</c:v>
                </c:pt>
                <c:pt idx="2">
                  <c:v>3203.886923752957</c:v>
                </c:pt>
                <c:pt idx="3">
                  <c:v>2033.4730492540493</c:v>
                </c:pt>
                <c:pt idx="4">
                  <c:v>2139.427854206755</c:v>
                </c:pt>
                <c:pt idx="5">
                  <c:v>3556.9414917474905</c:v>
                </c:pt>
                <c:pt idx="6">
                  <c:v>6140.1041624114459</c:v>
                </c:pt>
                <c:pt idx="7">
                  <c:v>9612.779292625748</c:v>
                </c:pt>
                <c:pt idx="8">
                  <c:v>9967.2348622174777</c:v>
                </c:pt>
                <c:pt idx="9">
                  <c:v>14893.498561649252</c:v>
                </c:pt>
                <c:pt idx="10">
                  <c:v>15805.384626818963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8-BB14-4A57-8737-4E0E80552977}"/>
            </c:ext>
          </c:extLst>
        </c:ser>
        <c:ser>
          <c:idx val="201"/>
          <c:order val="20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RESULTS'!$B$204:$L$204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5301.8577827972495</c:v>
                </c:pt>
                <c:pt idx="2">
                  <c:v>2740.1563908514072</c:v>
                </c:pt>
                <c:pt idx="3">
                  <c:v>1940.5038483516319</c:v>
                </c:pt>
                <c:pt idx="4">
                  <c:v>4247.9268102426231</c:v>
                </c:pt>
                <c:pt idx="5">
                  <c:v>6068.6481124301645</c:v>
                </c:pt>
                <c:pt idx="6">
                  <c:v>9681.2504598458054</c:v>
                </c:pt>
                <c:pt idx="7">
                  <c:v>13964.441515336148</c:v>
                </c:pt>
                <c:pt idx="8">
                  <c:v>15278.674402980672</c:v>
                </c:pt>
                <c:pt idx="9">
                  <c:v>14793.35453598385</c:v>
                </c:pt>
                <c:pt idx="10">
                  <c:v>13299.43732811567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9-BB14-4A57-8737-4E0E80552977}"/>
            </c:ext>
          </c:extLst>
        </c:ser>
        <c:ser>
          <c:idx val="202"/>
          <c:order val="20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RESULTS'!$B$205:$L$205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3171.8259423042173</c:v>
                </c:pt>
                <c:pt idx="2">
                  <c:v>4507.618038291208</c:v>
                </c:pt>
                <c:pt idx="3">
                  <c:v>5272.886154376798</c:v>
                </c:pt>
                <c:pt idx="4">
                  <c:v>2262.9130933782217</c:v>
                </c:pt>
                <c:pt idx="5">
                  <c:v>2772.8648618223197</c:v>
                </c:pt>
                <c:pt idx="6">
                  <c:v>5444.3899074662349</c:v>
                </c:pt>
                <c:pt idx="7">
                  <c:v>19097.019622773063</c:v>
                </c:pt>
                <c:pt idx="8">
                  <c:v>12447.35629096358</c:v>
                </c:pt>
                <c:pt idx="9">
                  <c:v>14364.362286140487</c:v>
                </c:pt>
                <c:pt idx="10">
                  <c:v>19141.468045667811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A-BB14-4A57-8737-4E0E80552977}"/>
            </c:ext>
          </c:extLst>
        </c:ser>
        <c:ser>
          <c:idx val="203"/>
          <c:order val="20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RESULTS'!$B$206:$L$206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5918.0548498800927</c:v>
                </c:pt>
                <c:pt idx="2">
                  <c:v>5334.9422689452131</c:v>
                </c:pt>
                <c:pt idx="3">
                  <c:v>2555.7711738904445</c:v>
                </c:pt>
                <c:pt idx="4">
                  <c:v>4029.7637715826349</c:v>
                </c:pt>
                <c:pt idx="5">
                  <c:v>6397.132338118452</c:v>
                </c:pt>
                <c:pt idx="6">
                  <c:v>4924.1931904903486</c:v>
                </c:pt>
                <c:pt idx="7">
                  <c:v>7756.5025258743408</c:v>
                </c:pt>
                <c:pt idx="8">
                  <c:v>12909.333525379032</c:v>
                </c:pt>
                <c:pt idx="9">
                  <c:v>15866.31052984186</c:v>
                </c:pt>
                <c:pt idx="10">
                  <c:v>18969.009092826411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B-BB14-4A57-8737-4E0E80552977}"/>
            </c:ext>
          </c:extLst>
        </c:ser>
        <c:ser>
          <c:idx val="204"/>
          <c:order val="20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RESULTS'!$B$207:$L$207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2842.357389269524</c:v>
                </c:pt>
                <c:pt idx="2">
                  <c:v>2715.131879664701</c:v>
                </c:pt>
                <c:pt idx="3">
                  <c:v>3053.8243373211626</c:v>
                </c:pt>
                <c:pt idx="4">
                  <c:v>2546.6634247217071</c:v>
                </c:pt>
                <c:pt idx="5">
                  <c:v>3711.0656892782154</c:v>
                </c:pt>
                <c:pt idx="6">
                  <c:v>7606.8649628932835</c:v>
                </c:pt>
                <c:pt idx="7">
                  <c:v>13723.747264511232</c:v>
                </c:pt>
                <c:pt idx="8">
                  <c:v>13177.247832865913</c:v>
                </c:pt>
                <c:pt idx="9">
                  <c:v>10110.907056863927</c:v>
                </c:pt>
                <c:pt idx="10">
                  <c:v>8510.262238835483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C-BB14-4A57-8737-4E0E80552977}"/>
            </c:ext>
          </c:extLst>
        </c:ser>
        <c:ser>
          <c:idx val="205"/>
          <c:order val="20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RESULTS'!$B$208:$L$208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454.26684187280262</c:v>
                </c:pt>
                <c:pt idx="2">
                  <c:v>852.7934101533865</c:v>
                </c:pt>
                <c:pt idx="3">
                  <c:v>1774.1576409012905</c:v>
                </c:pt>
                <c:pt idx="4">
                  <c:v>1162.6125273311072</c:v>
                </c:pt>
                <c:pt idx="5">
                  <c:v>2257.3361786806709</c:v>
                </c:pt>
                <c:pt idx="6">
                  <c:v>2141.4103502851649</c:v>
                </c:pt>
                <c:pt idx="7">
                  <c:v>2101.3366063162212</c:v>
                </c:pt>
                <c:pt idx="8">
                  <c:v>2875.586773518904</c:v>
                </c:pt>
                <c:pt idx="9">
                  <c:v>2367.5388730656086</c:v>
                </c:pt>
                <c:pt idx="10">
                  <c:v>5318.9975932844245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D-BB14-4A57-8737-4E0E80552977}"/>
            </c:ext>
          </c:extLst>
        </c:ser>
        <c:ser>
          <c:idx val="206"/>
          <c:order val="20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RESULTS'!$B$209:$L$209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10410.153736396987</c:v>
                </c:pt>
                <c:pt idx="2">
                  <c:v>11209.787316397405</c:v>
                </c:pt>
                <c:pt idx="3">
                  <c:v>11836.926074077541</c:v>
                </c:pt>
                <c:pt idx="4">
                  <c:v>12575.82360682173</c:v>
                </c:pt>
                <c:pt idx="5">
                  <c:v>19409.325686811782</c:v>
                </c:pt>
                <c:pt idx="6">
                  <c:v>23346.415543512609</c:v>
                </c:pt>
                <c:pt idx="7">
                  <c:v>29932.812598441822</c:v>
                </c:pt>
                <c:pt idx="8">
                  <c:v>30518.832586944714</c:v>
                </c:pt>
                <c:pt idx="9">
                  <c:v>40430.046428107533</c:v>
                </c:pt>
                <c:pt idx="10">
                  <c:v>42654.573522275583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E-BB14-4A57-8737-4E0E80552977}"/>
            </c:ext>
          </c:extLst>
        </c:ser>
        <c:ser>
          <c:idx val="207"/>
          <c:order val="20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RESULTS'!$B$210:$L$210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4229.9645452511431</c:v>
                </c:pt>
                <c:pt idx="2">
                  <c:v>5177.9123403986014</c:v>
                </c:pt>
                <c:pt idx="3">
                  <c:v>13444.734116911983</c:v>
                </c:pt>
                <c:pt idx="4">
                  <c:v>11005.729524308432</c:v>
                </c:pt>
                <c:pt idx="5">
                  <c:v>8521.0932597161009</c:v>
                </c:pt>
                <c:pt idx="6">
                  <c:v>18852.076021461457</c:v>
                </c:pt>
                <c:pt idx="7">
                  <c:v>29762.010457042612</c:v>
                </c:pt>
                <c:pt idx="8">
                  <c:v>48263.695962117243</c:v>
                </c:pt>
                <c:pt idx="9">
                  <c:v>59962.426638993056</c:v>
                </c:pt>
                <c:pt idx="10">
                  <c:v>66752.945745320205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F-BB14-4A57-8737-4E0E80552977}"/>
            </c:ext>
          </c:extLst>
        </c:ser>
        <c:ser>
          <c:idx val="208"/>
          <c:order val="20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RESULTS'!$B$211:$L$211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9851.3740496805003</c:v>
                </c:pt>
                <c:pt idx="2">
                  <c:v>16334.553381985228</c:v>
                </c:pt>
                <c:pt idx="3">
                  <c:v>25114.441969168882</c:v>
                </c:pt>
                <c:pt idx="4">
                  <c:v>21564.053249192159</c:v>
                </c:pt>
                <c:pt idx="5">
                  <c:v>23051.831917934607</c:v>
                </c:pt>
                <c:pt idx="6">
                  <c:v>18176.960755519118</c:v>
                </c:pt>
                <c:pt idx="7">
                  <c:v>15610.994183584829</c:v>
                </c:pt>
                <c:pt idx="8">
                  <c:v>25416.653448421679</c:v>
                </c:pt>
                <c:pt idx="9">
                  <c:v>33588.060272501258</c:v>
                </c:pt>
                <c:pt idx="10">
                  <c:v>33986.583110891253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0-BB14-4A57-8737-4E0E80552977}"/>
            </c:ext>
          </c:extLst>
        </c:ser>
        <c:ser>
          <c:idx val="209"/>
          <c:order val="20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RESULTS'!$B$212:$L$212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12878.670264244483</c:v>
                </c:pt>
                <c:pt idx="2">
                  <c:v>14793.678003389843</c:v>
                </c:pt>
                <c:pt idx="3">
                  <c:v>9431.860153611733</c:v>
                </c:pt>
                <c:pt idx="4">
                  <c:v>9775.6823466818823</c:v>
                </c:pt>
                <c:pt idx="5">
                  <c:v>13792.019578235573</c:v>
                </c:pt>
                <c:pt idx="6">
                  <c:v>6371.9967471126947</c:v>
                </c:pt>
                <c:pt idx="7">
                  <c:v>8442.5083544268036</c:v>
                </c:pt>
                <c:pt idx="8">
                  <c:v>11709.138748025116</c:v>
                </c:pt>
                <c:pt idx="9">
                  <c:v>17374.036103629835</c:v>
                </c:pt>
                <c:pt idx="10">
                  <c:v>24944.761785624294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1-BB14-4A57-8737-4E0E80552977}"/>
            </c:ext>
          </c:extLst>
        </c:ser>
        <c:ser>
          <c:idx val="210"/>
          <c:order val="2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RESULTS'!$B$213:$L$213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10324.805035132245</c:v>
                </c:pt>
                <c:pt idx="2">
                  <c:v>10820.392757561716</c:v>
                </c:pt>
                <c:pt idx="3">
                  <c:v>11945.146464576632</c:v>
                </c:pt>
                <c:pt idx="4">
                  <c:v>8339.6969013447815</c:v>
                </c:pt>
                <c:pt idx="5">
                  <c:v>13671.017752836171</c:v>
                </c:pt>
                <c:pt idx="6">
                  <c:v>17929.192063572027</c:v>
                </c:pt>
                <c:pt idx="7">
                  <c:v>25935.034729366722</c:v>
                </c:pt>
                <c:pt idx="8">
                  <c:v>29917.765322008861</c:v>
                </c:pt>
                <c:pt idx="9">
                  <c:v>30535.723070933105</c:v>
                </c:pt>
                <c:pt idx="10">
                  <c:v>44232.418486885275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2-BB14-4A57-8737-4E0E80552977}"/>
            </c:ext>
          </c:extLst>
        </c:ser>
        <c:ser>
          <c:idx val="211"/>
          <c:order val="2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RESULTS'!$B$214:$L$214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1284.9510437093159</c:v>
                </c:pt>
                <c:pt idx="2">
                  <c:v>3079.9381860313142</c:v>
                </c:pt>
                <c:pt idx="3">
                  <c:v>-596.74293307853213</c:v>
                </c:pt>
                <c:pt idx="4">
                  <c:v>-1065.9546111249365</c:v>
                </c:pt>
                <c:pt idx="5">
                  <c:v>174.66592260805828</c:v>
                </c:pt>
                <c:pt idx="6">
                  <c:v>-303.01815560287559</c:v>
                </c:pt>
                <c:pt idx="7">
                  <c:v>-69.590987591120211</c:v>
                </c:pt>
                <c:pt idx="8">
                  <c:v>2852.7035153225816</c:v>
                </c:pt>
                <c:pt idx="9">
                  <c:v>1059.8887920832785</c:v>
                </c:pt>
                <c:pt idx="10">
                  <c:v>118.48242546713209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3-BB14-4A57-8737-4E0E80552977}"/>
            </c:ext>
          </c:extLst>
        </c:ser>
        <c:ser>
          <c:idx val="212"/>
          <c:order val="2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RESULTS'!$B$215:$L$215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481.9428380572499</c:v>
                </c:pt>
                <c:pt idx="2">
                  <c:v>-761.16636103489782</c:v>
                </c:pt>
                <c:pt idx="3">
                  <c:v>-1568.2094305603659</c:v>
                </c:pt>
                <c:pt idx="4">
                  <c:v>-1767.1105120124821</c:v>
                </c:pt>
                <c:pt idx="5">
                  <c:v>-2870.4255377994459</c:v>
                </c:pt>
                <c:pt idx="6">
                  <c:v>-3336.6584459900332</c:v>
                </c:pt>
                <c:pt idx="7">
                  <c:v>-3591.7029040850575</c:v>
                </c:pt>
                <c:pt idx="8">
                  <c:v>-4078.5553467296786</c:v>
                </c:pt>
                <c:pt idx="9">
                  <c:v>-3987.271719970825</c:v>
                </c:pt>
                <c:pt idx="10">
                  <c:v>-3621.2193736964236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4-BB14-4A57-8737-4E0E80552977}"/>
            </c:ext>
          </c:extLst>
        </c:ser>
        <c:ser>
          <c:idx val="213"/>
          <c:order val="2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RESULTS'!$B$216:$L$216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2391.3757141190181</c:v>
                </c:pt>
                <c:pt idx="2">
                  <c:v>1296.4802956559679</c:v>
                </c:pt>
                <c:pt idx="3">
                  <c:v>1956.5112992686081</c:v>
                </c:pt>
                <c:pt idx="4">
                  <c:v>2411.0659764085467</c:v>
                </c:pt>
                <c:pt idx="5">
                  <c:v>3592.2078488908764</c:v>
                </c:pt>
                <c:pt idx="6">
                  <c:v>3410.6886845686213</c:v>
                </c:pt>
                <c:pt idx="7">
                  <c:v>787.70746412153676</c:v>
                </c:pt>
                <c:pt idx="8">
                  <c:v>4798.5985425453073</c:v>
                </c:pt>
                <c:pt idx="9">
                  <c:v>2047.9086692005394</c:v>
                </c:pt>
                <c:pt idx="10">
                  <c:v>-772.41464804595944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5-BB14-4A57-8737-4E0E80552977}"/>
            </c:ext>
          </c:extLst>
        </c:ser>
        <c:ser>
          <c:idx val="214"/>
          <c:order val="2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RESULTS'!$B$217:$L$217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5857.2713475710079</c:v>
                </c:pt>
                <c:pt idx="2">
                  <c:v>7273.4482500177037</c:v>
                </c:pt>
                <c:pt idx="3">
                  <c:v>11304.857656585673</c:v>
                </c:pt>
                <c:pt idx="4">
                  <c:v>10109.222113858421</c:v>
                </c:pt>
                <c:pt idx="5">
                  <c:v>8516.5482535641549</c:v>
                </c:pt>
                <c:pt idx="6">
                  <c:v>9019.1719825061682</c:v>
                </c:pt>
                <c:pt idx="7">
                  <c:v>6712.1733482377804</c:v>
                </c:pt>
                <c:pt idx="8">
                  <c:v>9255.1309724203766</c:v>
                </c:pt>
                <c:pt idx="9">
                  <c:v>12578.605619004404</c:v>
                </c:pt>
                <c:pt idx="10">
                  <c:v>16936.04322542316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6-BB14-4A57-8737-4E0E80552977}"/>
            </c:ext>
          </c:extLst>
        </c:ser>
        <c:ser>
          <c:idx val="215"/>
          <c:order val="2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RESULTS'!$B$218:$L$218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4437.435835619006</c:v>
                </c:pt>
                <c:pt idx="2">
                  <c:v>189.22276054016857</c:v>
                </c:pt>
                <c:pt idx="3">
                  <c:v>1521.3866549279774</c:v>
                </c:pt>
                <c:pt idx="4">
                  <c:v>4516.8995184740506</c:v>
                </c:pt>
                <c:pt idx="5">
                  <c:v>4430.7920537636201</c:v>
                </c:pt>
                <c:pt idx="6">
                  <c:v>2164.3632146645896</c:v>
                </c:pt>
                <c:pt idx="7">
                  <c:v>2821.7654737858065</c:v>
                </c:pt>
                <c:pt idx="8">
                  <c:v>5148.7493719560807</c:v>
                </c:pt>
                <c:pt idx="9">
                  <c:v>3810.3612565616149</c:v>
                </c:pt>
                <c:pt idx="10">
                  <c:v>1261.778639992056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7-BB14-4A57-8737-4E0E80552977}"/>
            </c:ext>
          </c:extLst>
        </c:ser>
        <c:ser>
          <c:idx val="216"/>
          <c:order val="2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RESULTS'!$B$219:$L$219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5748.3185820342296</c:v>
                </c:pt>
                <c:pt idx="2">
                  <c:v>11146.925639902998</c:v>
                </c:pt>
                <c:pt idx="3">
                  <c:v>9394.9763466864915</c:v>
                </c:pt>
                <c:pt idx="4">
                  <c:v>13683.950090989063</c:v>
                </c:pt>
                <c:pt idx="5">
                  <c:v>13845.626441854638</c:v>
                </c:pt>
                <c:pt idx="6">
                  <c:v>12215.928723331173</c:v>
                </c:pt>
                <c:pt idx="7">
                  <c:v>13830.159878490598</c:v>
                </c:pt>
                <c:pt idx="8">
                  <c:v>17917.206663633318</c:v>
                </c:pt>
                <c:pt idx="9">
                  <c:v>23463.592660394446</c:v>
                </c:pt>
                <c:pt idx="10">
                  <c:v>39349.242419374103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8-BB14-4A57-8737-4E0E80552977}"/>
            </c:ext>
          </c:extLst>
        </c:ser>
        <c:ser>
          <c:idx val="217"/>
          <c:order val="2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RESULTS'!$B$220:$L$220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4942.3387773298164</c:v>
                </c:pt>
                <c:pt idx="2">
                  <c:v>3640.6761119064213</c:v>
                </c:pt>
                <c:pt idx="3">
                  <c:v>5081.0500480789397</c:v>
                </c:pt>
                <c:pt idx="4">
                  <c:v>10921.675232112682</c:v>
                </c:pt>
                <c:pt idx="5">
                  <c:v>18186.834305385524</c:v>
                </c:pt>
                <c:pt idx="6">
                  <c:v>23255.979479954851</c:v>
                </c:pt>
                <c:pt idx="7">
                  <c:v>35145.225478148386</c:v>
                </c:pt>
                <c:pt idx="8">
                  <c:v>36408.343261495036</c:v>
                </c:pt>
                <c:pt idx="9">
                  <c:v>30678.840284210499</c:v>
                </c:pt>
                <c:pt idx="10">
                  <c:v>31714.892599654828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9-BB14-4A57-8737-4E0E80552977}"/>
            </c:ext>
          </c:extLst>
        </c:ser>
        <c:ser>
          <c:idx val="218"/>
          <c:order val="2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RESULTS'!$B$221:$L$221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5578.0166961110262</c:v>
                </c:pt>
                <c:pt idx="2">
                  <c:v>6263.4018952862898</c:v>
                </c:pt>
                <c:pt idx="3">
                  <c:v>6285.8932737422638</c:v>
                </c:pt>
                <c:pt idx="4">
                  <c:v>4668.70162684155</c:v>
                </c:pt>
                <c:pt idx="5">
                  <c:v>4456.748143236422</c:v>
                </c:pt>
                <c:pt idx="6">
                  <c:v>9300.9560281009981</c:v>
                </c:pt>
                <c:pt idx="7">
                  <c:v>8715.6412380029778</c:v>
                </c:pt>
                <c:pt idx="8">
                  <c:v>15392.552013401513</c:v>
                </c:pt>
                <c:pt idx="9">
                  <c:v>13589.193059363912</c:v>
                </c:pt>
                <c:pt idx="10">
                  <c:v>9541.1878673667125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A-BB14-4A57-8737-4E0E80552977}"/>
            </c:ext>
          </c:extLst>
        </c:ser>
        <c:ser>
          <c:idx val="219"/>
          <c:order val="2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RESULTS'!$B$222:$L$222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6695.652651449007</c:v>
                </c:pt>
                <c:pt idx="2">
                  <c:v>12430.970810415849</c:v>
                </c:pt>
                <c:pt idx="3">
                  <c:v>13662.296620747773</c:v>
                </c:pt>
                <c:pt idx="4">
                  <c:v>18838.612810859977</c:v>
                </c:pt>
                <c:pt idx="5">
                  <c:v>12902.11794273858</c:v>
                </c:pt>
                <c:pt idx="6">
                  <c:v>20927.418592350859</c:v>
                </c:pt>
                <c:pt idx="7">
                  <c:v>14952.851178207638</c:v>
                </c:pt>
                <c:pt idx="8">
                  <c:v>9708.2641974065609</c:v>
                </c:pt>
                <c:pt idx="9">
                  <c:v>14091.890519699627</c:v>
                </c:pt>
                <c:pt idx="10">
                  <c:v>34256.940265556943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B-BB14-4A57-8737-4E0E80552977}"/>
            </c:ext>
          </c:extLst>
        </c:ser>
        <c:ser>
          <c:idx val="220"/>
          <c:order val="2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RESULTS'!$B$223:$L$223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537.8944354231835</c:v>
                </c:pt>
                <c:pt idx="2">
                  <c:v>219.41057898151666</c:v>
                </c:pt>
                <c:pt idx="3">
                  <c:v>-964.75391652747385</c:v>
                </c:pt>
                <c:pt idx="4">
                  <c:v>21.754686418161327</c:v>
                </c:pt>
                <c:pt idx="5">
                  <c:v>89.309349526743972</c:v>
                </c:pt>
                <c:pt idx="6">
                  <c:v>-570.69623751753761</c:v>
                </c:pt>
                <c:pt idx="7">
                  <c:v>1627.0315905613534</c:v>
                </c:pt>
                <c:pt idx="8">
                  <c:v>6443.7759636322771</c:v>
                </c:pt>
                <c:pt idx="9">
                  <c:v>7317.957164736401</c:v>
                </c:pt>
                <c:pt idx="10">
                  <c:v>7477.9580594262025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C-BB14-4A57-8737-4E0E80552977}"/>
            </c:ext>
          </c:extLst>
        </c:ser>
        <c:ser>
          <c:idx val="221"/>
          <c:order val="2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RESULTS'!$B$224:$L$224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7581.1728071312991</c:v>
                </c:pt>
                <c:pt idx="2">
                  <c:v>7148.6799175205542</c:v>
                </c:pt>
                <c:pt idx="3">
                  <c:v>12815.474086449172</c:v>
                </c:pt>
                <c:pt idx="4">
                  <c:v>9382.3675472313844</c:v>
                </c:pt>
                <c:pt idx="5">
                  <c:v>12329.346290344725</c:v>
                </c:pt>
                <c:pt idx="6">
                  <c:v>14713.632718484056</c:v>
                </c:pt>
                <c:pt idx="7">
                  <c:v>8995.1208413167715</c:v>
                </c:pt>
                <c:pt idx="8">
                  <c:v>18516.882177518699</c:v>
                </c:pt>
                <c:pt idx="9">
                  <c:v>25437.575751129931</c:v>
                </c:pt>
                <c:pt idx="10">
                  <c:v>28332.470529248683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D-BB14-4A57-8737-4E0E80552977}"/>
            </c:ext>
          </c:extLst>
        </c:ser>
        <c:ser>
          <c:idx val="222"/>
          <c:order val="2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RESULTS'!$B$225:$L$225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13688.036077492441</c:v>
                </c:pt>
                <c:pt idx="2">
                  <c:v>26814.219427194072</c:v>
                </c:pt>
                <c:pt idx="3">
                  <c:v>30519.611887871026</c:v>
                </c:pt>
                <c:pt idx="4">
                  <c:v>29316.689351115776</c:v>
                </c:pt>
                <c:pt idx="5">
                  <c:v>31461.457656299564</c:v>
                </c:pt>
                <c:pt idx="6">
                  <c:v>41606.606028853617</c:v>
                </c:pt>
                <c:pt idx="7">
                  <c:v>54735.628824951978</c:v>
                </c:pt>
                <c:pt idx="8">
                  <c:v>42489.27205973072</c:v>
                </c:pt>
                <c:pt idx="9">
                  <c:v>56755.679885055644</c:v>
                </c:pt>
                <c:pt idx="10">
                  <c:v>84090.252360594313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E-BB14-4A57-8737-4E0E80552977}"/>
            </c:ext>
          </c:extLst>
        </c:ser>
        <c:ser>
          <c:idx val="223"/>
          <c:order val="2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RESULTS'!$B$226:$L$226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3498.4954755330018</c:v>
                </c:pt>
                <c:pt idx="2">
                  <c:v>12950.697969155968</c:v>
                </c:pt>
                <c:pt idx="3">
                  <c:v>13252.099034768806</c:v>
                </c:pt>
                <c:pt idx="4">
                  <c:v>14808.714477506168</c:v>
                </c:pt>
                <c:pt idx="5">
                  <c:v>8202.8740545220971</c:v>
                </c:pt>
                <c:pt idx="6">
                  <c:v>10187.708473713576</c:v>
                </c:pt>
                <c:pt idx="7">
                  <c:v>5622.288351006704</c:v>
                </c:pt>
                <c:pt idx="8">
                  <c:v>6217.9970448281274</c:v>
                </c:pt>
                <c:pt idx="9">
                  <c:v>3834.6022493688833</c:v>
                </c:pt>
                <c:pt idx="10">
                  <c:v>4303.0481682842583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F-BB14-4A57-8737-4E0E80552977}"/>
            </c:ext>
          </c:extLst>
        </c:ser>
        <c:ser>
          <c:idx val="224"/>
          <c:order val="2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RESULTS'!$B$227:$L$227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7419.0361060022224</c:v>
                </c:pt>
                <c:pt idx="2">
                  <c:v>12540.013027939054</c:v>
                </c:pt>
                <c:pt idx="3">
                  <c:v>10668.122944494615</c:v>
                </c:pt>
                <c:pt idx="4">
                  <c:v>23454.252675103609</c:v>
                </c:pt>
                <c:pt idx="5">
                  <c:v>19539.135964265843</c:v>
                </c:pt>
                <c:pt idx="6">
                  <c:v>15262.850352803307</c:v>
                </c:pt>
                <c:pt idx="7">
                  <c:v>15796.213533498729</c:v>
                </c:pt>
                <c:pt idx="8">
                  <c:v>21618.338699187065</c:v>
                </c:pt>
                <c:pt idx="9">
                  <c:v>16256.652118263646</c:v>
                </c:pt>
                <c:pt idx="10">
                  <c:v>11257.207359592829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0-BB14-4A57-8737-4E0E80552977}"/>
            </c:ext>
          </c:extLst>
        </c:ser>
        <c:ser>
          <c:idx val="225"/>
          <c:order val="2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RESULTS'!$B$228:$L$228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9745.8502900132662</c:v>
                </c:pt>
                <c:pt idx="2">
                  <c:v>15973.590938091158</c:v>
                </c:pt>
                <c:pt idx="3">
                  <c:v>29503.852288744463</c:v>
                </c:pt>
                <c:pt idx="4">
                  <c:v>31877.257508971263</c:v>
                </c:pt>
                <c:pt idx="5">
                  <c:v>41232.673246995531</c:v>
                </c:pt>
                <c:pt idx="6">
                  <c:v>43607.825803543317</c:v>
                </c:pt>
                <c:pt idx="7">
                  <c:v>34579.563159443707</c:v>
                </c:pt>
                <c:pt idx="8">
                  <c:v>37704.720991306262</c:v>
                </c:pt>
                <c:pt idx="9">
                  <c:v>44221.620452645097</c:v>
                </c:pt>
                <c:pt idx="10">
                  <c:v>34363.436951132629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1-BB14-4A57-8737-4E0E80552977}"/>
            </c:ext>
          </c:extLst>
        </c:ser>
        <c:ser>
          <c:idx val="226"/>
          <c:order val="2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RESULTS'!$B$229:$L$229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11077.257045355633</c:v>
                </c:pt>
                <c:pt idx="2">
                  <c:v>9587.4028132853309</c:v>
                </c:pt>
                <c:pt idx="3">
                  <c:v>15296.223798295927</c:v>
                </c:pt>
                <c:pt idx="4">
                  <c:v>15665.49389805803</c:v>
                </c:pt>
                <c:pt idx="5">
                  <c:v>21714.372808094522</c:v>
                </c:pt>
                <c:pt idx="6">
                  <c:v>26487.189203885624</c:v>
                </c:pt>
                <c:pt idx="7">
                  <c:v>29641.553970361398</c:v>
                </c:pt>
                <c:pt idx="8">
                  <c:v>33461.059506704878</c:v>
                </c:pt>
                <c:pt idx="9">
                  <c:v>45990.134466220625</c:v>
                </c:pt>
                <c:pt idx="10">
                  <c:v>62510.769304741189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2-BB14-4A57-8737-4E0E80552977}"/>
            </c:ext>
          </c:extLst>
        </c:ser>
        <c:ser>
          <c:idx val="227"/>
          <c:order val="2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RESULTS'!$B$230:$L$230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3694.1682817251021</c:v>
                </c:pt>
                <c:pt idx="2">
                  <c:v>5047.5921403360335</c:v>
                </c:pt>
                <c:pt idx="3">
                  <c:v>5724.3278291596489</c:v>
                </c:pt>
                <c:pt idx="4">
                  <c:v>6015.5316507664029</c:v>
                </c:pt>
                <c:pt idx="5">
                  <c:v>6086.8015182358595</c:v>
                </c:pt>
                <c:pt idx="6">
                  <c:v>5576.4929960465615</c:v>
                </c:pt>
                <c:pt idx="7">
                  <c:v>8249.7468175425493</c:v>
                </c:pt>
                <c:pt idx="8">
                  <c:v>10624.522119252353</c:v>
                </c:pt>
                <c:pt idx="9">
                  <c:v>22741.89382534476</c:v>
                </c:pt>
                <c:pt idx="10">
                  <c:v>31483.587041334475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3-BB14-4A57-8737-4E0E80552977}"/>
            </c:ext>
          </c:extLst>
        </c:ser>
        <c:ser>
          <c:idx val="228"/>
          <c:order val="2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RESULTS'!$B$231:$L$231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5120.5569042604875</c:v>
                </c:pt>
                <c:pt idx="2">
                  <c:v>4340.7006054195317</c:v>
                </c:pt>
                <c:pt idx="3">
                  <c:v>8063.850656563287</c:v>
                </c:pt>
                <c:pt idx="4">
                  <c:v>10783.180647516125</c:v>
                </c:pt>
                <c:pt idx="5">
                  <c:v>9227.9227457856905</c:v>
                </c:pt>
                <c:pt idx="6">
                  <c:v>11300.615431140719</c:v>
                </c:pt>
                <c:pt idx="7">
                  <c:v>15106.029495393828</c:v>
                </c:pt>
                <c:pt idx="8">
                  <c:v>11542.37460971069</c:v>
                </c:pt>
                <c:pt idx="9">
                  <c:v>16649.054576703609</c:v>
                </c:pt>
                <c:pt idx="10">
                  <c:v>28699.525156886724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4-BB14-4A57-8737-4E0E80552977}"/>
            </c:ext>
          </c:extLst>
        </c:ser>
        <c:ser>
          <c:idx val="229"/>
          <c:order val="2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RESULTS'!$B$232:$L$232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5165.8004717845979</c:v>
                </c:pt>
                <c:pt idx="2">
                  <c:v>4067.8691489195098</c:v>
                </c:pt>
                <c:pt idx="3">
                  <c:v>4875.3583845539033</c:v>
                </c:pt>
                <c:pt idx="4">
                  <c:v>5806.3103191517603</c:v>
                </c:pt>
                <c:pt idx="5">
                  <c:v>1597.8794945185873</c:v>
                </c:pt>
                <c:pt idx="6">
                  <c:v>2102.7177949575189</c:v>
                </c:pt>
                <c:pt idx="7">
                  <c:v>4692.7815465043786</c:v>
                </c:pt>
                <c:pt idx="8">
                  <c:v>3909.9518556159092</c:v>
                </c:pt>
                <c:pt idx="9">
                  <c:v>3227.7110874407608</c:v>
                </c:pt>
                <c:pt idx="10">
                  <c:v>6765.457449867059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5-BB14-4A57-8737-4E0E80552977}"/>
            </c:ext>
          </c:extLst>
        </c:ser>
        <c:ser>
          <c:idx val="230"/>
          <c:order val="2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RESULTS'!$B$233:$L$233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6191.9852827717514</c:v>
                </c:pt>
                <c:pt idx="2">
                  <c:v>9566.6072952826726</c:v>
                </c:pt>
                <c:pt idx="3">
                  <c:v>11085.085170146966</c:v>
                </c:pt>
                <c:pt idx="4">
                  <c:v>11293.16076638188</c:v>
                </c:pt>
                <c:pt idx="5">
                  <c:v>8270.8413797339399</c:v>
                </c:pt>
                <c:pt idx="6">
                  <c:v>17397.557975609048</c:v>
                </c:pt>
                <c:pt idx="7">
                  <c:v>16576.070846098683</c:v>
                </c:pt>
                <c:pt idx="8">
                  <c:v>23862.677490750113</c:v>
                </c:pt>
                <c:pt idx="9">
                  <c:v>27199.996555330319</c:v>
                </c:pt>
                <c:pt idx="10">
                  <c:v>30767.442910357524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6-BB14-4A57-8737-4E0E80552977}"/>
            </c:ext>
          </c:extLst>
        </c:ser>
        <c:ser>
          <c:idx val="231"/>
          <c:order val="2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RESULTS'!$B$234:$L$234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4806.2771307754265</c:v>
                </c:pt>
                <c:pt idx="2">
                  <c:v>9563.6038645703302</c:v>
                </c:pt>
                <c:pt idx="3">
                  <c:v>16993.281781751641</c:v>
                </c:pt>
                <c:pt idx="4">
                  <c:v>22523.811219005966</c:v>
                </c:pt>
                <c:pt idx="5">
                  <c:v>32937.584716465528</c:v>
                </c:pt>
                <c:pt idx="6">
                  <c:v>41582.036936423996</c:v>
                </c:pt>
                <c:pt idx="7">
                  <c:v>59700.733789773309</c:v>
                </c:pt>
                <c:pt idx="8">
                  <c:v>58974.692336913853</c:v>
                </c:pt>
                <c:pt idx="9">
                  <c:v>85141.453999394798</c:v>
                </c:pt>
                <c:pt idx="10">
                  <c:v>95238.742496116261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7-BB14-4A57-8737-4E0E80552977}"/>
            </c:ext>
          </c:extLst>
        </c:ser>
        <c:ser>
          <c:idx val="232"/>
          <c:order val="2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RESULTS'!$B$235:$L$235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1778.6678039909175</c:v>
                </c:pt>
                <c:pt idx="2">
                  <c:v>4207.5983147166153</c:v>
                </c:pt>
                <c:pt idx="3">
                  <c:v>4454.0717578174681</c:v>
                </c:pt>
                <c:pt idx="4">
                  <c:v>7461.100712389185</c:v>
                </c:pt>
                <c:pt idx="5">
                  <c:v>6194.6333679999952</c:v>
                </c:pt>
                <c:pt idx="6">
                  <c:v>8586.8526163832885</c:v>
                </c:pt>
                <c:pt idx="7">
                  <c:v>7632.661976088204</c:v>
                </c:pt>
                <c:pt idx="8">
                  <c:v>14166.640440368155</c:v>
                </c:pt>
                <c:pt idx="9">
                  <c:v>16198.894046135993</c:v>
                </c:pt>
                <c:pt idx="10">
                  <c:v>18320.242131708255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8-BB14-4A57-8737-4E0E80552977}"/>
            </c:ext>
          </c:extLst>
        </c:ser>
        <c:ser>
          <c:idx val="233"/>
          <c:order val="2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RESULTS'!$B$236:$L$236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7804.3498470199647</c:v>
                </c:pt>
                <c:pt idx="2">
                  <c:v>4735.2091853832353</c:v>
                </c:pt>
                <c:pt idx="3">
                  <c:v>5301.7902287828329</c:v>
                </c:pt>
                <c:pt idx="4">
                  <c:v>4748.100716882087</c:v>
                </c:pt>
                <c:pt idx="5">
                  <c:v>6781.0565878769448</c:v>
                </c:pt>
                <c:pt idx="6">
                  <c:v>1826.7506587517109</c:v>
                </c:pt>
                <c:pt idx="7">
                  <c:v>2958.8268655181737</c:v>
                </c:pt>
                <c:pt idx="8">
                  <c:v>3670.591260036962</c:v>
                </c:pt>
                <c:pt idx="9">
                  <c:v>8316.6910183831205</c:v>
                </c:pt>
                <c:pt idx="10">
                  <c:v>11726.491416623538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9-BB14-4A57-8737-4E0E80552977}"/>
            </c:ext>
          </c:extLst>
        </c:ser>
        <c:ser>
          <c:idx val="234"/>
          <c:order val="2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RESULTS'!$B$237:$L$237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9114.4901645989903</c:v>
                </c:pt>
                <c:pt idx="2">
                  <c:v>19740.258856457607</c:v>
                </c:pt>
                <c:pt idx="3">
                  <c:v>14214.201158492462</c:v>
                </c:pt>
                <c:pt idx="4">
                  <c:v>16174.368085865284</c:v>
                </c:pt>
                <c:pt idx="5">
                  <c:v>20182.467987423763</c:v>
                </c:pt>
                <c:pt idx="6">
                  <c:v>28617.542948695518</c:v>
                </c:pt>
                <c:pt idx="7">
                  <c:v>31433.597613171434</c:v>
                </c:pt>
                <c:pt idx="8">
                  <c:v>37293.796640680514</c:v>
                </c:pt>
                <c:pt idx="9">
                  <c:v>25826.571324489058</c:v>
                </c:pt>
                <c:pt idx="10">
                  <c:v>22079.800866826248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A-BB14-4A57-8737-4E0E80552977}"/>
            </c:ext>
          </c:extLst>
        </c:ser>
        <c:ser>
          <c:idx val="235"/>
          <c:order val="2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RESULTS'!$B$238:$L$238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3586.8603221729427</c:v>
                </c:pt>
                <c:pt idx="2">
                  <c:v>4433.9986053203702</c:v>
                </c:pt>
                <c:pt idx="3">
                  <c:v>2351.1871655656123</c:v>
                </c:pt>
                <c:pt idx="4">
                  <c:v>-158.70534338809921</c:v>
                </c:pt>
                <c:pt idx="5">
                  <c:v>-1171.0366134856949</c:v>
                </c:pt>
                <c:pt idx="6">
                  <c:v>-3063.4651427912568</c:v>
                </c:pt>
                <c:pt idx="7">
                  <c:v>-2805.5925151866331</c:v>
                </c:pt>
                <c:pt idx="8">
                  <c:v>-2930.1561639276147</c:v>
                </c:pt>
                <c:pt idx="9">
                  <c:v>-3551.4592832380022</c:v>
                </c:pt>
                <c:pt idx="10">
                  <c:v>-3467.6079489007184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B-BB14-4A57-8737-4E0E80552977}"/>
            </c:ext>
          </c:extLst>
        </c:ser>
        <c:ser>
          <c:idx val="236"/>
          <c:order val="2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RESULTS'!$B$239:$L$239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3462.6441345109251</c:v>
                </c:pt>
                <c:pt idx="2">
                  <c:v>1530.0193424919535</c:v>
                </c:pt>
                <c:pt idx="3">
                  <c:v>208.10221059727428</c:v>
                </c:pt>
                <c:pt idx="4">
                  <c:v>1153.3145148307449</c:v>
                </c:pt>
                <c:pt idx="5">
                  <c:v>1004.0043569707996</c:v>
                </c:pt>
                <c:pt idx="6">
                  <c:v>49.598783579491283</c:v>
                </c:pt>
                <c:pt idx="7">
                  <c:v>1411.2471405649821</c:v>
                </c:pt>
                <c:pt idx="8">
                  <c:v>2831.9339134287939</c:v>
                </c:pt>
                <c:pt idx="9">
                  <c:v>3406.4806838511404</c:v>
                </c:pt>
                <c:pt idx="10">
                  <c:v>6704.3775875221454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C-BB14-4A57-8737-4E0E80552977}"/>
            </c:ext>
          </c:extLst>
        </c:ser>
        <c:ser>
          <c:idx val="237"/>
          <c:order val="2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RESULTS'!$B$240:$L$240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5397.3272991704071</c:v>
                </c:pt>
                <c:pt idx="2">
                  <c:v>3904.2271437011223</c:v>
                </c:pt>
                <c:pt idx="3">
                  <c:v>6730.1789251203318</c:v>
                </c:pt>
                <c:pt idx="4">
                  <c:v>7698.1908173056254</c:v>
                </c:pt>
                <c:pt idx="5">
                  <c:v>10864.834424821134</c:v>
                </c:pt>
                <c:pt idx="6">
                  <c:v>5490.2652354576694</c:v>
                </c:pt>
                <c:pt idx="7">
                  <c:v>5530.5009225870126</c:v>
                </c:pt>
                <c:pt idx="8">
                  <c:v>6532.450178574898</c:v>
                </c:pt>
                <c:pt idx="9">
                  <c:v>2935.238648749837</c:v>
                </c:pt>
                <c:pt idx="10">
                  <c:v>3795.4159091293441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D-BB14-4A57-8737-4E0E80552977}"/>
            </c:ext>
          </c:extLst>
        </c:ser>
        <c:ser>
          <c:idx val="238"/>
          <c:order val="2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RESULTS'!$B$241:$L$241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7253.8997226639167</c:v>
                </c:pt>
                <c:pt idx="2">
                  <c:v>14267.636907869608</c:v>
                </c:pt>
                <c:pt idx="3">
                  <c:v>8188.3600285971279</c:v>
                </c:pt>
                <c:pt idx="4">
                  <c:v>3741.3953843867821</c:v>
                </c:pt>
                <c:pt idx="5">
                  <c:v>2743.5085490581205</c:v>
                </c:pt>
                <c:pt idx="6">
                  <c:v>3034.702633010791</c:v>
                </c:pt>
                <c:pt idx="7">
                  <c:v>432.99003549043573</c:v>
                </c:pt>
                <c:pt idx="8">
                  <c:v>852.15298212331891</c:v>
                </c:pt>
                <c:pt idx="9">
                  <c:v>483.42734039769493</c:v>
                </c:pt>
                <c:pt idx="10">
                  <c:v>3145.291907582312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E-BB14-4A57-8737-4E0E80552977}"/>
            </c:ext>
          </c:extLst>
        </c:ser>
        <c:ser>
          <c:idx val="239"/>
          <c:order val="2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RESULTS'!$B$242:$L$242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5204.5037076236677</c:v>
                </c:pt>
                <c:pt idx="2">
                  <c:v>3368.1584376171104</c:v>
                </c:pt>
                <c:pt idx="3">
                  <c:v>8408.2101255691814</c:v>
                </c:pt>
                <c:pt idx="4">
                  <c:v>8356.5397988039858</c:v>
                </c:pt>
                <c:pt idx="5">
                  <c:v>19461.900564961274</c:v>
                </c:pt>
                <c:pt idx="6">
                  <c:v>20041.029047980825</c:v>
                </c:pt>
                <c:pt idx="7">
                  <c:v>19916.890521934849</c:v>
                </c:pt>
                <c:pt idx="8">
                  <c:v>32827.765791855622</c:v>
                </c:pt>
                <c:pt idx="9">
                  <c:v>44249.774212689466</c:v>
                </c:pt>
                <c:pt idx="10">
                  <c:v>45955.152888754958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F-BB14-4A57-8737-4E0E80552977}"/>
            </c:ext>
          </c:extLst>
        </c:ser>
        <c:ser>
          <c:idx val="240"/>
          <c:order val="2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RESULTS'!$B$243:$L$243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5542.275897221627</c:v>
                </c:pt>
                <c:pt idx="2">
                  <c:v>4125.5778006821129</c:v>
                </c:pt>
                <c:pt idx="3">
                  <c:v>2531.6286150130181</c:v>
                </c:pt>
                <c:pt idx="4">
                  <c:v>6091.6503347382277</c:v>
                </c:pt>
                <c:pt idx="5">
                  <c:v>9306.625658819914</c:v>
                </c:pt>
                <c:pt idx="6">
                  <c:v>13963.377113148934</c:v>
                </c:pt>
                <c:pt idx="7">
                  <c:v>15724.49775706117</c:v>
                </c:pt>
                <c:pt idx="8">
                  <c:v>14421.558562250866</c:v>
                </c:pt>
                <c:pt idx="9">
                  <c:v>19804.180892930297</c:v>
                </c:pt>
                <c:pt idx="10">
                  <c:v>40207.141854761881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0-BB14-4A57-8737-4E0E80552977}"/>
            </c:ext>
          </c:extLst>
        </c:ser>
        <c:ser>
          <c:idx val="241"/>
          <c:order val="2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RESULTS'!$B$244:$L$244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9057.1646056046229</c:v>
                </c:pt>
                <c:pt idx="2">
                  <c:v>7551.2678558460466</c:v>
                </c:pt>
                <c:pt idx="3">
                  <c:v>8371.7979406676604</c:v>
                </c:pt>
                <c:pt idx="4">
                  <c:v>11962.268834318886</c:v>
                </c:pt>
                <c:pt idx="5">
                  <c:v>11480.351838609708</c:v>
                </c:pt>
                <c:pt idx="6">
                  <c:v>13923.059415610442</c:v>
                </c:pt>
                <c:pt idx="7">
                  <c:v>21884.066622487324</c:v>
                </c:pt>
                <c:pt idx="8">
                  <c:v>29710.905321051861</c:v>
                </c:pt>
                <c:pt idx="9">
                  <c:v>32383.725668674379</c:v>
                </c:pt>
                <c:pt idx="10">
                  <c:v>39009.050075130108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1-BB14-4A57-8737-4E0E80552977}"/>
            </c:ext>
          </c:extLst>
        </c:ser>
        <c:ser>
          <c:idx val="242"/>
          <c:order val="2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RESULTS'!$B$245:$L$245</c:f>
              <c:numCache>
                <c:formatCode>_-* #,##0_-;\-* #,##0_-;_-* "-"??_-;_-@_-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2-BB14-4A57-8737-4E0E80552977}"/>
            </c:ext>
          </c:extLst>
        </c:ser>
        <c:ser>
          <c:idx val="243"/>
          <c:order val="243"/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RESULTS'!$B$1:$L$1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5519.2847322564403</c:v>
                </c:pt>
                <c:pt idx="2">
                  <c:v>6869.3034509253521</c:v>
                </c:pt>
                <c:pt idx="3">
                  <c:v>7381.1031492210395</c:v>
                </c:pt>
                <c:pt idx="4">
                  <c:v>8880.3766001897802</c:v>
                </c:pt>
                <c:pt idx="5">
                  <c:v>9311.0424044516076</c:v>
                </c:pt>
                <c:pt idx="6">
                  <c:v>11005.202992160186</c:v>
                </c:pt>
                <c:pt idx="7">
                  <c:v>14336.615687847441</c:v>
                </c:pt>
                <c:pt idx="8">
                  <c:v>16770.619158709676</c:v>
                </c:pt>
                <c:pt idx="9">
                  <c:v>20144.799401790944</c:v>
                </c:pt>
                <c:pt idx="10">
                  <c:v>22793.803219266494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3-BB14-4A57-8737-4E0E8055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789055"/>
        <c:axId val="328798055"/>
      </c:lineChart>
      <c:catAx>
        <c:axId val="328789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98055"/>
        <c:crosses val="autoZero"/>
        <c:auto val="1"/>
        <c:lblAlgn val="ctr"/>
        <c:lblOffset val="100"/>
        <c:noMultiLvlLbl val="0"/>
      </c:catAx>
      <c:valAx>
        <c:axId val="328798055"/>
        <c:scaling>
          <c:orientation val="minMax"/>
          <c:max val="20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8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DISTRIBUTION OF YEAR 10 TERMINAL FREE CASH FLOWS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'SIMULATION RESULTS'!$AA$10:$AA$24</c:f>
              <c:numCache>
                <c:formatCode>_-* #,##0_-;\-* #,##0_-;_-* "-"??_-;_-@_-</c:formatCode>
                <c:ptCount val="15"/>
                <c:pt idx="0">
                  <c:v>-10000</c:v>
                </c:pt>
                <c:pt idx="1">
                  <c:v>0</c:v>
                </c:pt>
                <c:pt idx="2">
                  <c:v>20000</c:v>
                </c:pt>
                <c:pt idx="3">
                  <c:v>40000</c:v>
                </c:pt>
                <c:pt idx="4">
                  <c:v>60000</c:v>
                </c:pt>
                <c:pt idx="5">
                  <c:v>80000</c:v>
                </c:pt>
                <c:pt idx="6">
                  <c:v>100000</c:v>
                </c:pt>
                <c:pt idx="7">
                  <c:v>120000</c:v>
                </c:pt>
                <c:pt idx="8">
                  <c:v>140000</c:v>
                </c:pt>
                <c:pt idx="9">
                  <c:v>160000</c:v>
                </c:pt>
                <c:pt idx="10">
                  <c:v>180000</c:v>
                </c:pt>
                <c:pt idx="11">
                  <c:v>200000</c:v>
                </c:pt>
                <c:pt idx="12">
                  <c:v>220000</c:v>
                </c:pt>
                <c:pt idx="13">
                  <c:v>240000</c:v>
                </c:pt>
                <c:pt idx="14">
                  <c:v>260000</c:v>
                </c:pt>
              </c:numCache>
            </c:numRef>
          </c:xVal>
          <c:yVal>
            <c:numRef>
              <c:f>'SIMULATION RESULTS'!$AB$10:$AB$24</c:f>
              <c:numCache>
                <c:formatCode>General</c:formatCode>
                <c:ptCount val="15"/>
                <c:pt idx="0">
                  <c:v>0</c:v>
                </c:pt>
                <c:pt idx="1">
                  <c:v>15</c:v>
                </c:pt>
                <c:pt idx="2">
                  <c:v>93</c:v>
                </c:pt>
                <c:pt idx="3">
                  <c:v>70</c:v>
                </c:pt>
                <c:pt idx="4">
                  <c:v>31</c:v>
                </c:pt>
                <c:pt idx="5">
                  <c:v>13</c:v>
                </c:pt>
                <c:pt idx="6">
                  <c:v>6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9E-4F5E-8FF6-109681432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928871"/>
        <c:axId val="327923471"/>
      </c:scatterChart>
      <c:valAx>
        <c:axId val="327928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$'S MILLION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3471"/>
        <c:crosses val="autoZero"/>
        <c:crossBetween val="midCat"/>
      </c:valAx>
      <c:valAx>
        <c:axId val="3279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8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1977259</xdr:colOff>
      <xdr:row>1</xdr:row>
      <xdr:rowOff>24255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201DE9-C3FB-4055-AF91-A94B85F94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7259" cy="3612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1977259</xdr:colOff>
      <xdr:row>1</xdr:row>
      <xdr:rowOff>46235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2913B5-D8C4-4CE0-9D17-0D04A4788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7259" cy="3612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1977259</xdr:colOff>
      <xdr:row>1</xdr:row>
      <xdr:rowOff>24255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0FFE46-9FDC-47C2-886E-D3DA85F9B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7259" cy="3612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735723</xdr:colOff>
      <xdr:row>3</xdr:row>
      <xdr:rowOff>86710</xdr:rowOff>
    </xdr:from>
    <xdr:to>
      <xdr:col>28</xdr:col>
      <xdr:colOff>472965</xdr:colOff>
      <xdr:row>17</xdr:row>
      <xdr:rowOff>182617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E354B3-0AA1-B18D-BA11-C0D368C56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1977259</xdr:colOff>
      <xdr:row>0</xdr:row>
      <xdr:rowOff>361293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A8C2EC-3389-B05E-82B7-79AD0B0BE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7259" cy="361293"/>
        </a:xfrm>
        <a:prstGeom prst="rect">
          <a:avLst/>
        </a:prstGeom>
      </xdr:spPr>
    </xdr:pic>
    <xdr:clientData/>
  </xdr:twoCellAnchor>
  <xdr:twoCellAnchor>
    <xdr:from>
      <xdr:col>4</xdr:col>
      <xdr:colOff>475430</xdr:colOff>
      <xdr:row>31</xdr:row>
      <xdr:rowOff>110579</xdr:rowOff>
    </xdr:from>
    <xdr:to>
      <xdr:col>12</xdr:col>
      <xdr:colOff>595313</xdr:colOff>
      <xdr:row>55</xdr:row>
      <xdr:rowOff>15874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76BB32-16D3-4CC7-859A-F5982FBB9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377443</xdr:colOff>
      <xdr:row>31</xdr:row>
      <xdr:rowOff>137943</xdr:rowOff>
    </xdr:from>
    <xdr:to>
      <xdr:col>4</xdr:col>
      <xdr:colOff>23813</xdr:colOff>
      <xdr:row>55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D4390C-37CD-49B1-AE07-11CEF26ED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308263</xdr:colOff>
      <xdr:row>7</xdr:row>
      <xdr:rowOff>38099</xdr:rowOff>
    </xdr:from>
    <xdr:to>
      <xdr:col>23</xdr:col>
      <xdr:colOff>590549</xdr:colOff>
      <xdr:row>46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AAA2C5-13B3-4009-805E-54A63DBB2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323850</xdr:colOff>
      <xdr:row>46</xdr:row>
      <xdr:rowOff>104775</xdr:rowOff>
    </xdr:from>
    <xdr:to>
      <xdr:col>23</xdr:col>
      <xdr:colOff>523876</xdr:colOff>
      <xdr:row>72</xdr:row>
      <xdr:rowOff>104775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A4F70DC-3E8B-C92E-B4EB-0D03E177F1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1296-7486-423A-8DF5-FBCA9F261FE8}">
  <sheetPr codeName="Sheet4">
    <pageSetUpPr fitToPage="1"/>
  </sheetPr>
  <dimension ref="A1:U59"/>
  <sheetViews>
    <sheetView zoomScale="130" zoomScaleNormal="130" workbookViewId="0">
      <pane xSplit="1" ySplit="2" topLeftCell="B3" activePane="bottomRight" state="frozen"/>
      <selection pane="topRight" activeCell="B1" sqref="B1"/>
      <selection pane="bottomLeft" activeCell="A4" sqref="A4"/>
      <selection pane="bottomRight"/>
    </sheetView>
  </sheetViews>
  <sheetFormatPr defaultColWidth="16.6640625" defaultRowHeight="15" customHeight="1"/>
  <cols>
    <col min="1" max="1" width="39.109375" style="1" customWidth="1"/>
    <col min="2" max="11" width="10.6640625" style="1" customWidth="1"/>
    <col min="12" max="15" width="10.88671875" style="1" customWidth="1"/>
    <col min="16" max="16" width="10.88671875" style="2" customWidth="1"/>
    <col min="17" max="21" width="10.88671875" style="1" customWidth="1"/>
    <col min="22" max="74" width="13" style="1" customWidth="1"/>
    <col min="75" max="16384" width="16.6640625" style="1"/>
  </cols>
  <sheetData>
    <row r="1" spans="1:21" ht="26.25" customHeight="1" thickBot="1">
      <c r="A1" s="3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21" ht="22.5" customHeight="1" thickTop="1" thickBot="1">
      <c r="A2" s="73" t="s">
        <v>17</v>
      </c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21" ht="20.25" customHeight="1">
      <c r="A3" s="70" t="s">
        <v>4</v>
      </c>
      <c r="B3" s="8">
        <f>B2</f>
        <v>2017</v>
      </c>
      <c r="C3" s="8">
        <f>C2</f>
        <v>2018</v>
      </c>
      <c r="D3" s="8">
        <f>D2</f>
        <v>2019</v>
      </c>
      <c r="E3" s="8">
        <f>E2</f>
        <v>2020</v>
      </c>
      <c r="F3" s="8">
        <f t="shared" ref="F3:K3" si="0">F2</f>
        <v>2021</v>
      </c>
      <c r="G3" s="8">
        <f t="shared" si="0"/>
        <v>2022</v>
      </c>
      <c r="H3" s="8">
        <f t="shared" si="0"/>
        <v>2023</v>
      </c>
      <c r="I3" s="8">
        <f t="shared" si="0"/>
        <v>2024</v>
      </c>
      <c r="J3" s="8">
        <f t="shared" si="0"/>
        <v>2025</v>
      </c>
      <c r="K3" s="8">
        <f t="shared" si="0"/>
        <v>2026</v>
      </c>
      <c r="L3" s="8">
        <f>L2</f>
        <v>2027</v>
      </c>
      <c r="M3" s="8">
        <f>M2</f>
        <v>2028</v>
      </c>
      <c r="N3" s="8">
        <f>N2</f>
        <v>2029</v>
      </c>
      <c r="O3" s="8">
        <f>O2</f>
        <v>2030</v>
      </c>
      <c r="P3" s="8">
        <f t="shared" ref="P3:U3" si="1">P2</f>
        <v>2031</v>
      </c>
      <c r="Q3" s="8">
        <f t="shared" si="1"/>
        <v>2032</v>
      </c>
      <c r="R3" s="8">
        <f t="shared" si="1"/>
        <v>2033</v>
      </c>
      <c r="S3" s="8">
        <f t="shared" si="1"/>
        <v>2034</v>
      </c>
      <c r="T3" s="8">
        <f t="shared" si="1"/>
        <v>2035</v>
      </c>
      <c r="U3" s="8">
        <f t="shared" si="1"/>
        <v>2036</v>
      </c>
    </row>
    <row r="4" spans="1:21" ht="13.5" customHeight="1" thickBo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s="18" customFormat="1" ht="15" customHeight="1" thickBot="1">
      <c r="A5" s="16" t="s">
        <v>18</v>
      </c>
      <c r="B5" s="58">
        <v>16403</v>
      </c>
      <c r="C5" s="58">
        <v>18628</v>
      </c>
      <c r="D5" s="58">
        <v>14557</v>
      </c>
      <c r="E5" s="58">
        <v>14198</v>
      </c>
      <c r="F5" s="58">
        <v>22845</v>
      </c>
      <c r="G5" s="58">
        <v>22780</v>
      </c>
      <c r="H5" s="58">
        <v>22855</v>
      </c>
      <c r="I5" s="58">
        <v>25455</v>
      </c>
      <c r="J5" s="58">
        <v>25915</v>
      </c>
      <c r="K5" s="58">
        <f>'Revenue Model'!K71</f>
        <v>28142.756822579926</v>
      </c>
      <c r="L5" s="58">
        <f>'Revenue Model'!L71</f>
        <v>29232.900718393561</v>
      </c>
      <c r="M5" s="58">
        <f>'Revenue Model'!M71</f>
        <v>30694.545754313232</v>
      </c>
      <c r="N5" s="58">
        <f>'Revenue Model'!N71</f>
        <v>32229.273042028901</v>
      </c>
      <c r="O5" s="58">
        <f>'Revenue Model'!O71</f>
        <v>33840.736694130348</v>
      </c>
      <c r="P5" s="58">
        <f>'Revenue Model'!P71</f>
        <v>35532.773528836857</v>
      </c>
      <c r="Q5" s="58">
        <f>'Revenue Model'!Q71</f>
        <v>37309.412205278706</v>
      </c>
      <c r="R5" s="58">
        <f>'Revenue Model'!R71</f>
        <v>39174.882815542653</v>
      </c>
      <c r="S5" s="58">
        <f>'Revenue Model'!S71</f>
        <v>41133.626956319786</v>
      </c>
      <c r="T5" s="58">
        <f>'Revenue Model'!T71</f>
        <v>43190.308304135775</v>
      </c>
      <c r="U5" s="58">
        <f>'Revenue Model'!U71</f>
        <v>45349.823719342567</v>
      </c>
    </row>
    <row r="6" spans="1:21" s="18" customFormat="1" ht="15" customHeight="1" thickBot="1">
      <c r="A6" s="16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</row>
    <row r="7" spans="1:21" ht="15" customHeight="1" thickBot="1">
      <c r="A7" s="12" t="s">
        <v>19</v>
      </c>
      <c r="B7" s="26">
        <v>10308</v>
      </c>
      <c r="C7" s="26">
        <v>11691</v>
      </c>
      <c r="D7" s="26">
        <v>11693</v>
      </c>
      <c r="E7" s="26">
        <v>10127</v>
      </c>
      <c r="F7" s="26">
        <v>12032</v>
      </c>
      <c r="G7" s="26">
        <v>13070</v>
      </c>
      <c r="H7" s="26">
        <v>13621</v>
      </c>
      <c r="I7" s="26">
        <v>15554</v>
      </c>
      <c r="J7" s="26">
        <v>16374</v>
      </c>
      <c r="K7" s="26">
        <f>'Cost Model'!K5</f>
        <v>17824.794426062483</v>
      </c>
      <c r="L7" s="26">
        <f>'Cost Model'!L5</f>
        <v>17979.377445325856</v>
      </c>
      <c r="M7" s="26">
        <f>'Cost Model'!M5</f>
        <v>18287.536345756092</v>
      </c>
      <c r="N7" s="26">
        <f>'Cost Model'!N5</f>
        <v>18550.545169094647</v>
      </c>
      <c r="O7" s="26">
        <f>'Cost Model'!O5</f>
        <v>18759.939214220332</v>
      </c>
      <c r="P7" s="26">
        <f>'Cost Model'!P5</f>
        <v>18906.194307236066</v>
      </c>
      <c r="Q7" s="26">
        <f>'Cost Model'!Q5</f>
        <v>18978.608613463835</v>
      </c>
      <c r="R7" s="26">
        <f>'Cost Model'!R5</f>
        <v>18965.171855566747</v>
      </c>
      <c r="S7" s="26">
        <f>'Cost Model'!S5</f>
        <v>18852.420622946345</v>
      </c>
      <c r="T7" s="26">
        <f>'Cost Model'!T5</f>
        <v>18625.278321591559</v>
      </c>
      <c r="U7" s="26">
        <f>'Cost Model'!U5</f>
        <v>18266.878163587568</v>
      </c>
    </row>
    <row r="8" spans="1:21" ht="15" customHeight="1" thickBot="1">
      <c r="A8" s="12" t="s">
        <v>20</v>
      </c>
      <c r="B8" s="26">
        <v>1714</v>
      </c>
      <c r="C8" s="26">
        <v>1754</v>
      </c>
      <c r="D8" s="26">
        <v>1412</v>
      </c>
      <c r="E8" s="26">
        <v>1528</v>
      </c>
      <c r="F8" s="26">
        <v>1998</v>
      </c>
      <c r="G8" s="26">
        <v>2019</v>
      </c>
      <c r="H8" s="26">
        <v>2074</v>
      </c>
      <c r="I8" s="26">
        <v>2241</v>
      </c>
      <c r="J8" s="26">
        <v>2244</v>
      </c>
      <c r="K8" s="26">
        <f>'Cost Model'!K7</f>
        <v>2532.8481140321933</v>
      </c>
      <c r="L8" s="26">
        <f>'Cost Model'!L7</f>
        <v>2630.9610646554206</v>
      </c>
      <c r="M8" s="26">
        <f>'Cost Model'!M7</f>
        <v>2762.5091178881908</v>
      </c>
      <c r="N8" s="26">
        <f>'Cost Model'!N7</f>
        <v>2900.6345737826009</v>
      </c>
      <c r="O8" s="26">
        <f>'Cost Model'!O7</f>
        <v>3045.6663024717313</v>
      </c>
      <c r="P8" s="26">
        <f>'Cost Model'!P7</f>
        <v>3197.9496175953168</v>
      </c>
      <c r="Q8" s="26">
        <f>'Cost Model'!Q7</f>
        <v>3357.8470984750834</v>
      </c>
      <c r="R8" s="26">
        <f>'Cost Model'!R7</f>
        <v>3525.7394533988386</v>
      </c>
      <c r="S8" s="26">
        <f>'Cost Model'!S7</f>
        <v>3702.0264260687804</v>
      </c>
      <c r="T8" s="26">
        <f>'Cost Model'!T7</f>
        <v>3887.1277473722198</v>
      </c>
      <c r="U8" s="26">
        <f>'Cost Model'!U7</f>
        <v>4081.484134740831</v>
      </c>
    </row>
    <row r="9" spans="1:21" ht="15" customHeight="1" thickBot="1">
      <c r="A9" s="12" t="s">
        <v>22</v>
      </c>
      <c r="B9" s="26">
        <v>484</v>
      </c>
      <c r="C9" s="26">
        <v>443</v>
      </c>
      <c r="D9" s="26">
        <v>414</v>
      </c>
      <c r="E9" s="26">
        <v>370</v>
      </c>
      <c r="F9" s="26">
        <v>383</v>
      </c>
      <c r="G9" s="26">
        <v>420</v>
      </c>
      <c r="H9" s="26">
        <v>479</v>
      </c>
      <c r="I9" s="26">
        <v>513</v>
      </c>
      <c r="J9" s="26">
        <v>545</v>
      </c>
      <c r="K9" s="26">
        <f>'Cost Model'!K9</f>
        <v>572.25</v>
      </c>
      <c r="L9" s="26">
        <f>'Cost Model'!L9</f>
        <v>600.86250000000007</v>
      </c>
      <c r="M9" s="26">
        <f>'Cost Model'!M9</f>
        <v>630.9056250000001</v>
      </c>
      <c r="N9" s="26">
        <f>'Cost Model'!N9</f>
        <v>662.45090625000012</v>
      </c>
      <c r="O9" s="26">
        <f>'Cost Model'!O9</f>
        <v>695.57345156250017</v>
      </c>
      <c r="P9" s="26">
        <f>'Cost Model'!P9</f>
        <v>730.35212414062516</v>
      </c>
      <c r="Q9" s="26">
        <f>'Cost Model'!Q9</f>
        <v>766.8697303476564</v>
      </c>
      <c r="R9" s="26">
        <f>'Cost Model'!R9</f>
        <v>805.21321686503927</v>
      </c>
      <c r="S9" s="26">
        <f>'Cost Model'!S9</f>
        <v>845.4738777082913</v>
      </c>
      <c r="T9" s="26">
        <f>'Cost Model'!T9</f>
        <v>887.74757159370586</v>
      </c>
      <c r="U9" s="26">
        <f>'Cost Model'!U9</f>
        <v>932.13495017339119</v>
      </c>
    </row>
    <row r="10" spans="1:21" ht="15" customHeight="1" thickBot="1">
      <c r="A10" s="40" t="s">
        <v>21</v>
      </c>
      <c r="B10" s="63">
        <v>94</v>
      </c>
      <c r="C10" s="63">
        <v>105</v>
      </c>
      <c r="D10" s="63">
        <v>104</v>
      </c>
      <c r="E10" s="63">
        <v>50</v>
      </c>
      <c r="F10" s="63">
        <v>55</v>
      </c>
      <c r="G10" s="63">
        <v>115</v>
      </c>
      <c r="H10" s="63">
        <v>137</v>
      </c>
      <c r="I10" s="63">
        <v>156</v>
      </c>
      <c r="J10" s="63">
        <v>192</v>
      </c>
      <c r="K10" s="63">
        <f>'Cost Model'!K11</f>
        <v>201.60000000000002</v>
      </c>
      <c r="L10" s="63">
        <f>'Cost Model'!L11</f>
        <v>211.68000000000004</v>
      </c>
      <c r="M10" s="63">
        <f>'Cost Model'!M11</f>
        <v>222.26400000000004</v>
      </c>
      <c r="N10" s="63">
        <f>'Cost Model'!N11</f>
        <v>233.37720000000004</v>
      </c>
      <c r="O10" s="63">
        <f>'Cost Model'!O11</f>
        <v>245.04606000000007</v>
      </c>
      <c r="P10" s="63">
        <f>'Cost Model'!P11</f>
        <v>257.29836300000011</v>
      </c>
      <c r="Q10" s="63">
        <f>'Cost Model'!Q11</f>
        <v>270.1632811500001</v>
      </c>
      <c r="R10" s="63">
        <f>'Cost Model'!R11</f>
        <v>283.67144520750014</v>
      </c>
      <c r="S10" s="63">
        <f>'Cost Model'!S11</f>
        <v>297.85501746787514</v>
      </c>
      <c r="T10" s="63">
        <f>'Cost Model'!T11</f>
        <v>312.74776834126891</v>
      </c>
      <c r="U10" s="63">
        <f>'Cost Model'!U11</f>
        <v>328.38515675833236</v>
      </c>
    </row>
    <row r="11" spans="1:21" ht="15" customHeight="1" thickBot="1">
      <c r="A11" s="40" t="s">
        <v>23</v>
      </c>
      <c r="B11" s="63">
        <v>251</v>
      </c>
      <c r="C11" s="63">
        <v>89</v>
      </c>
      <c r="D11" s="63">
        <v>105</v>
      </c>
      <c r="E11" s="63">
        <v>159</v>
      </c>
      <c r="F11" s="63">
        <v>91</v>
      </c>
      <c r="G11" s="63">
        <v>121</v>
      </c>
      <c r="H11" s="63">
        <v>319</v>
      </c>
      <c r="I11" s="63">
        <v>127</v>
      </c>
      <c r="J11" s="63">
        <v>58</v>
      </c>
      <c r="K11" s="63">
        <f>'Cost Model'!K13</f>
        <v>120</v>
      </c>
      <c r="L11" s="63">
        <f>'Cost Model'!L13</f>
        <v>120</v>
      </c>
      <c r="M11" s="63">
        <f>'Cost Model'!M13</f>
        <v>120</v>
      </c>
      <c r="N11" s="63">
        <f>'Cost Model'!N13</f>
        <v>120</v>
      </c>
      <c r="O11" s="63">
        <f>'Cost Model'!O13</f>
        <v>120</v>
      </c>
      <c r="P11" s="63">
        <f>'Cost Model'!P13</f>
        <v>120</v>
      </c>
      <c r="Q11" s="63">
        <f>'Cost Model'!Q13</f>
        <v>120</v>
      </c>
      <c r="R11" s="63">
        <f>'Cost Model'!R13</f>
        <v>120</v>
      </c>
      <c r="S11" s="63">
        <f>'Cost Model'!S13</f>
        <v>120</v>
      </c>
      <c r="T11" s="63">
        <f>'Cost Model'!T13</f>
        <v>120</v>
      </c>
      <c r="U11" s="63">
        <f>'Cost Model'!U13</f>
        <v>120</v>
      </c>
    </row>
    <row r="12" spans="1:21" ht="15" customHeight="1" thickBot="1">
      <c r="A12" s="12" t="s">
        <v>31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  <c r="G12" s="63">
        <v>0</v>
      </c>
      <c r="H12" s="63">
        <v>0</v>
      </c>
      <c r="I12" s="63">
        <v>0</v>
      </c>
      <c r="J12" s="63">
        <v>-16</v>
      </c>
      <c r="K12" s="63">
        <v>0</v>
      </c>
      <c r="L12" s="63">
        <v>0</v>
      </c>
      <c r="M12" s="63">
        <v>0</v>
      </c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3">
        <v>0</v>
      </c>
    </row>
    <row r="13" spans="1:21" s="18" customFormat="1" ht="15" customHeight="1" thickBot="1">
      <c r="A13" s="16" t="s">
        <v>24</v>
      </c>
      <c r="B13" s="58">
        <f t="shared" ref="B13:I13" si="2">SUM(B7:B12)</f>
        <v>12851</v>
      </c>
      <c r="C13" s="58">
        <f t="shared" si="2"/>
        <v>14082</v>
      </c>
      <c r="D13" s="58">
        <f t="shared" si="2"/>
        <v>13728</v>
      </c>
      <c r="E13" s="58">
        <f t="shared" si="2"/>
        <v>12234</v>
      </c>
      <c r="F13" s="58">
        <f t="shared" si="2"/>
        <v>14559</v>
      </c>
      <c r="G13" s="58">
        <f t="shared" si="2"/>
        <v>15745</v>
      </c>
      <c r="H13" s="58">
        <f t="shared" si="2"/>
        <v>16630</v>
      </c>
      <c r="I13" s="58">
        <f t="shared" si="2"/>
        <v>18591</v>
      </c>
      <c r="J13" s="58">
        <f>SUM(J7:J12)</f>
        <v>19397</v>
      </c>
      <c r="K13" s="58">
        <f>SUM(K7:K12)</f>
        <v>21251.492540094674</v>
      </c>
      <c r="L13" s="58">
        <f t="shared" ref="L13:O13" si="3">SUM(L7:L12)</f>
        <v>21542.881009981276</v>
      </c>
      <c r="M13" s="58">
        <f t="shared" si="3"/>
        <v>22023.215088644283</v>
      </c>
      <c r="N13" s="58">
        <f t="shared" si="3"/>
        <v>22467.007849127247</v>
      </c>
      <c r="O13" s="58">
        <f t="shared" si="3"/>
        <v>22866.225028254565</v>
      </c>
      <c r="P13" s="58">
        <f t="shared" ref="P13" si="4">SUM(P7:P12)</f>
        <v>23211.794411972012</v>
      </c>
      <c r="Q13" s="58">
        <f t="shared" ref="Q13" si="5">SUM(Q7:Q12)</f>
        <v>23493.488723436571</v>
      </c>
      <c r="R13" s="58">
        <f t="shared" ref="R13" si="6">SUM(R7:R12)</f>
        <v>23699.795971038122</v>
      </c>
      <c r="S13" s="58">
        <f t="shared" ref="S13" si="7">SUM(S7:S12)</f>
        <v>23817.775944191293</v>
      </c>
      <c r="T13" s="58">
        <f t="shared" ref="T13" si="8">SUM(T7:T12)</f>
        <v>23832.901408898753</v>
      </c>
      <c r="U13" s="58">
        <f t="shared" ref="U13" si="9">SUM(U7:U12)</f>
        <v>23728.882405260127</v>
      </c>
    </row>
    <row r="14" spans="1:21" s="18" customFormat="1" ht="15" customHeight="1">
      <c r="A14" s="9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</row>
    <row r="15" spans="1:21" ht="15" customHeight="1">
      <c r="A15" s="49" t="s">
        <v>25</v>
      </c>
      <c r="B15" s="65">
        <f t="shared" ref="B15:O15" si="10">B5-B13</f>
        <v>3552</v>
      </c>
      <c r="C15" s="65">
        <f t="shared" si="10"/>
        <v>4546</v>
      </c>
      <c r="D15" s="65">
        <f t="shared" si="10"/>
        <v>829</v>
      </c>
      <c r="E15" s="65">
        <f t="shared" si="10"/>
        <v>1964</v>
      </c>
      <c r="F15" s="65">
        <f t="shared" si="10"/>
        <v>8286</v>
      </c>
      <c r="G15" s="65">
        <f t="shared" si="10"/>
        <v>7035</v>
      </c>
      <c r="H15" s="65">
        <f t="shared" si="10"/>
        <v>6225</v>
      </c>
      <c r="I15" s="65">
        <f t="shared" si="10"/>
        <v>6864</v>
      </c>
      <c r="J15" s="65">
        <f t="shared" si="10"/>
        <v>6518</v>
      </c>
      <c r="K15" s="65">
        <f t="shared" si="10"/>
        <v>6891.2642824852519</v>
      </c>
      <c r="L15" s="65">
        <f t="shared" si="10"/>
        <v>7690.0197084122847</v>
      </c>
      <c r="M15" s="65">
        <f t="shared" si="10"/>
        <v>8671.3306656689492</v>
      </c>
      <c r="N15" s="65">
        <f t="shared" si="10"/>
        <v>9762.2651929016538</v>
      </c>
      <c r="O15" s="65">
        <f t="shared" si="10"/>
        <v>10974.511665875783</v>
      </c>
      <c r="P15" s="65">
        <f t="shared" ref="P15:U15" si="11">P5-P13</f>
        <v>12320.979116864844</v>
      </c>
      <c r="Q15" s="65">
        <f t="shared" si="11"/>
        <v>13815.923481842136</v>
      </c>
      <c r="R15" s="65">
        <f t="shared" si="11"/>
        <v>15475.086844504531</v>
      </c>
      <c r="S15" s="65">
        <f t="shared" si="11"/>
        <v>17315.851012128493</v>
      </c>
      <c r="T15" s="65">
        <f t="shared" si="11"/>
        <v>19357.406895237022</v>
      </c>
      <c r="U15" s="65">
        <f t="shared" si="11"/>
        <v>21620.94131408244</v>
      </c>
    </row>
    <row r="16" spans="1:21" ht="15" customHeight="1" thickBot="1">
      <c r="A16" s="24"/>
      <c r="B16" s="59"/>
      <c r="C16" s="59"/>
      <c r="D16" s="59"/>
      <c r="E16" s="59"/>
      <c r="F16" s="59"/>
      <c r="G16" s="59"/>
      <c r="H16" s="59"/>
      <c r="I16" s="59"/>
      <c r="J16" s="59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</row>
    <row r="17" spans="1:21" ht="15" customHeight="1" thickBot="1">
      <c r="A17" s="12" t="s">
        <v>26</v>
      </c>
      <c r="B17" s="26">
        <v>-801</v>
      </c>
      <c r="C17" s="26">
        <v>-945</v>
      </c>
      <c r="D17" s="26">
        <v>-620</v>
      </c>
      <c r="E17" s="26">
        <v>-598</v>
      </c>
      <c r="F17" s="26">
        <v>-602</v>
      </c>
      <c r="G17" s="26">
        <v>-560</v>
      </c>
      <c r="H17" s="26">
        <v>-515</v>
      </c>
      <c r="I17" s="26">
        <v>-319</v>
      </c>
      <c r="J17" s="26">
        <v>-369</v>
      </c>
      <c r="K17" s="26">
        <f>'Balance Sheet'!J45</f>
        <v>-369</v>
      </c>
      <c r="L17" s="26">
        <f>'Balance Sheet'!K45</f>
        <v>-375.16</v>
      </c>
      <c r="M17" s="26">
        <f>'Balance Sheet'!L45</f>
        <v>-375.16</v>
      </c>
      <c r="N17" s="26">
        <f>'Balance Sheet'!M45</f>
        <v>-375.16</v>
      </c>
      <c r="O17" s="26">
        <f>'Balance Sheet'!N45</f>
        <v>-375.16</v>
      </c>
      <c r="P17" s="26">
        <f>'Balance Sheet'!O45</f>
        <v>-375.16</v>
      </c>
      <c r="Q17" s="26">
        <f>'Balance Sheet'!P45</f>
        <v>-375.16</v>
      </c>
      <c r="R17" s="26">
        <f>'Balance Sheet'!Q45</f>
        <v>-375.16</v>
      </c>
      <c r="S17" s="26">
        <f>'Balance Sheet'!R45</f>
        <v>-375.16</v>
      </c>
      <c r="T17" s="26">
        <f>'Balance Sheet'!S45</f>
        <v>-375.16</v>
      </c>
      <c r="U17" s="26">
        <f>'Balance Sheet'!T45</f>
        <v>-375.16</v>
      </c>
    </row>
    <row r="18" spans="1:21" ht="15" customHeight="1" thickBot="1">
      <c r="A18" s="12" t="s">
        <v>27</v>
      </c>
      <c r="B18" s="26">
        <v>217</v>
      </c>
      <c r="C18" s="26">
        <v>276</v>
      </c>
      <c r="D18" s="26">
        <v>255</v>
      </c>
      <c r="E18" s="26">
        <v>431</v>
      </c>
      <c r="F18" s="26">
        <v>-25</v>
      </c>
      <c r="G18" s="26">
        <v>240</v>
      </c>
      <c r="H18" s="26">
        <v>296</v>
      </c>
      <c r="I18" s="26">
        <v>362</v>
      </c>
      <c r="J18" s="26">
        <v>223</v>
      </c>
      <c r="K18" s="26">
        <f>'Balance Sheet'!J48</f>
        <v>223</v>
      </c>
      <c r="L18" s="26">
        <f>'Balance Sheet'!K48</f>
        <v>137.83777655435935</v>
      </c>
      <c r="M18" s="26">
        <f>'Balance Sheet'!L48</f>
        <v>137.55499396800752</v>
      </c>
      <c r="N18" s="26">
        <f>'Balance Sheet'!M48</f>
        <v>154.34346659205843</v>
      </c>
      <c r="O18" s="26">
        <f>'Balance Sheet'!N48</f>
        <v>189.67034776577825</v>
      </c>
      <c r="P18" s="26">
        <f>'Balance Sheet'!O48</f>
        <v>245.15383114015134</v>
      </c>
      <c r="Q18" s="26">
        <f>'Balance Sheet'!P48</f>
        <v>322.57847289961876</v>
      </c>
      <c r="R18" s="26">
        <f>'Balance Sheet'!Q48</f>
        <v>423.91207904047758</v>
      </c>
      <c r="S18" s="26">
        <f>'Balance Sheet'!R48</f>
        <v>551.32431781820276</v>
      </c>
      <c r="T18" s="26">
        <f>'Balance Sheet'!S48</f>
        <v>707.20723387258272</v>
      </c>
      <c r="U18" s="26">
        <f>'Balance Sheet'!T48</f>
        <v>894.19785861608557</v>
      </c>
    </row>
    <row r="19" spans="1:21" ht="15" customHeight="1" thickBot="1">
      <c r="A19" s="14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</row>
    <row r="20" spans="1:21" ht="15" customHeight="1" thickBot="1">
      <c r="A20" s="12" t="s">
        <v>28</v>
      </c>
      <c r="B20" s="26">
        <f t="shared" ref="B20:O20" si="12">B15+B17+B18</f>
        <v>2968</v>
      </c>
      <c r="C20" s="26">
        <f t="shared" si="12"/>
        <v>3877</v>
      </c>
      <c r="D20" s="26">
        <f t="shared" si="12"/>
        <v>464</v>
      </c>
      <c r="E20" s="26">
        <f t="shared" si="12"/>
        <v>1797</v>
      </c>
      <c r="F20" s="26">
        <f t="shared" si="12"/>
        <v>7659</v>
      </c>
      <c r="G20" s="26">
        <f t="shared" si="12"/>
        <v>6715</v>
      </c>
      <c r="H20" s="26">
        <f t="shared" si="12"/>
        <v>6006</v>
      </c>
      <c r="I20" s="26">
        <f t="shared" si="12"/>
        <v>6907</v>
      </c>
      <c r="J20" s="26">
        <f t="shared" si="12"/>
        <v>6372</v>
      </c>
      <c r="K20" s="26">
        <f t="shared" si="12"/>
        <v>6745.2642824852519</v>
      </c>
      <c r="L20" s="26">
        <f t="shared" si="12"/>
        <v>7452.697484966644</v>
      </c>
      <c r="M20" s="26">
        <f t="shared" si="12"/>
        <v>8433.7256596369571</v>
      </c>
      <c r="N20" s="26">
        <f t="shared" si="12"/>
        <v>9541.4486594937116</v>
      </c>
      <c r="O20" s="26">
        <f t="shared" si="12"/>
        <v>10789.022013641561</v>
      </c>
      <c r="P20" s="26">
        <f t="shared" ref="P20:U20" si="13">P15+P17+P18</f>
        <v>12190.972948004995</v>
      </c>
      <c r="Q20" s="26">
        <f t="shared" si="13"/>
        <v>13763.341954741754</v>
      </c>
      <c r="R20" s="26">
        <f t="shared" si="13"/>
        <v>15523.838923545009</v>
      </c>
      <c r="S20" s="26">
        <f t="shared" si="13"/>
        <v>17492.015329946695</v>
      </c>
      <c r="T20" s="26">
        <f t="shared" si="13"/>
        <v>19689.454129109603</v>
      </c>
      <c r="U20" s="26">
        <f t="shared" si="13"/>
        <v>22139.979172698524</v>
      </c>
    </row>
    <row r="21" spans="1:21" ht="15" customHeight="1" thickBot="1">
      <c r="A21" s="12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</row>
    <row r="22" spans="1:21" ht="15" customHeight="1" thickBot="1">
      <c r="A22" s="12" t="s">
        <v>8</v>
      </c>
      <c r="B22" s="26">
        <v>883</v>
      </c>
      <c r="C22" s="26">
        <v>1374</v>
      </c>
      <c r="D22" s="26">
        <v>569</v>
      </c>
      <c r="E22" s="26">
        <v>944</v>
      </c>
      <c r="F22" s="26">
        <v>2299</v>
      </c>
      <c r="G22" s="26">
        <v>2267</v>
      </c>
      <c r="H22" s="26">
        <v>2270</v>
      </c>
      <c r="I22" s="26">
        <v>2523</v>
      </c>
      <c r="J22" s="26">
        <v>2221</v>
      </c>
      <c r="K22" s="26">
        <f>K23*K20</f>
        <v>2360.842498869838</v>
      </c>
      <c r="L22" s="26">
        <f t="shared" ref="L22:O22" si="14">L23*L20</f>
        <v>2608.4441197383253</v>
      </c>
      <c r="M22" s="26">
        <f t="shared" si="14"/>
        <v>2951.803980872935</v>
      </c>
      <c r="N22" s="26">
        <f t="shared" si="14"/>
        <v>3339.5070308227987</v>
      </c>
      <c r="O22" s="26">
        <f t="shared" si="14"/>
        <v>3776.1577047745459</v>
      </c>
      <c r="P22" s="26">
        <f t="shared" ref="P22" si="15">P23*P20</f>
        <v>4266.8405318017485</v>
      </c>
      <c r="Q22" s="26">
        <f t="shared" ref="Q22" si="16">Q23*Q20</f>
        <v>4817.169684159614</v>
      </c>
      <c r="R22" s="26">
        <f t="shared" ref="R22" si="17">R23*R20</f>
        <v>5433.343623240753</v>
      </c>
      <c r="S22" s="26">
        <f t="shared" ref="S22" si="18">S23*S20</f>
        <v>6122.2053654813426</v>
      </c>
      <c r="T22" s="26">
        <f t="shared" ref="T22" si="19">T23*T20</f>
        <v>6891.3089451883607</v>
      </c>
      <c r="U22" s="26">
        <f t="shared" ref="U22" si="20">U23*U20</f>
        <v>7748.9927104444832</v>
      </c>
    </row>
    <row r="23" spans="1:21" ht="15" customHeight="1" thickBot="1">
      <c r="A23" s="24" t="s">
        <v>104</v>
      </c>
      <c r="B23" s="88">
        <f>B22/B20</f>
        <v>0.2975067385444744</v>
      </c>
      <c r="C23" s="88">
        <f t="shared" ref="C23:J23" si="21">C22/C20</f>
        <v>0.3543977302037658</v>
      </c>
      <c r="D23" s="88">
        <f t="shared" si="21"/>
        <v>1.2262931034482758</v>
      </c>
      <c r="E23" s="88">
        <f t="shared" si="21"/>
        <v>0.52531997774067896</v>
      </c>
      <c r="F23" s="88">
        <f t="shared" si="21"/>
        <v>0.30016973495234367</v>
      </c>
      <c r="G23" s="88">
        <f t="shared" si="21"/>
        <v>0.33760238272524201</v>
      </c>
      <c r="H23" s="88">
        <f t="shared" si="21"/>
        <v>0.37795537795537798</v>
      </c>
      <c r="I23" s="88">
        <f t="shared" si="21"/>
        <v>0.36528159837845664</v>
      </c>
      <c r="J23" s="88">
        <f t="shared" si="21"/>
        <v>0.34855618330194599</v>
      </c>
      <c r="K23" s="88">
        <v>0.35</v>
      </c>
      <c r="L23" s="88">
        <v>0.35</v>
      </c>
      <c r="M23" s="88">
        <v>0.35</v>
      </c>
      <c r="N23" s="88">
        <v>0.35</v>
      </c>
      <c r="O23" s="88">
        <v>0.35</v>
      </c>
      <c r="P23" s="88">
        <v>0.35</v>
      </c>
      <c r="Q23" s="88">
        <v>0.35</v>
      </c>
      <c r="R23" s="88">
        <v>0.35</v>
      </c>
      <c r="S23" s="88">
        <v>0.35</v>
      </c>
      <c r="T23" s="88">
        <v>0.35</v>
      </c>
      <c r="U23" s="88">
        <v>0.35</v>
      </c>
    </row>
    <row r="24" spans="1:21" ht="15" customHeight="1" thickBot="1">
      <c r="A24" s="12" t="s">
        <v>2</v>
      </c>
      <c r="B24" s="26">
        <v>10</v>
      </c>
      <c r="C24" s="26">
        <v>8</v>
      </c>
      <c r="D24" s="26">
        <v>12</v>
      </c>
      <c r="E24" s="26">
        <v>12</v>
      </c>
      <c r="F24" s="26">
        <v>5</v>
      </c>
      <c r="G24" s="26">
        <v>31</v>
      </c>
      <c r="H24" s="26">
        <v>15</v>
      </c>
      <c r="I24" s="26">
        <v>15</v>
      </c>
      <c r="J24" s="26">
        <v>1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</row>
    <row r="25" spans="1:21" ht="15" customHeight="1">
      <c r="A25" s="49" t="s">
        <v>6</v>
      </c>
      <c r="B25" s="67">
        <f t="shared" ref="B25:H25" si="22">B20-B22+B24</f>
        <v>2095</v>
      </c>
      <c r="C25" s="67">
        <f t="shared" si="22"/>
        <v>2511</v>
      </c>
      <c r="D25" s="67">
        <f t="shared" si="22"/>
        <v>-93</v>
      </c>
      <c r="E25" s="67">
        <f t="shared" si="22"/>
        <v>865</v>
      </c>
      <c r="F25" s="67">
        <f t="shared" si="22"/>
        <v>5365</v>
      </c>
      <c r="G25" s="67">
        <f t="shared" si="22"/>
        <v>4479</v>
      </c>
      <c r="H25" s="67">
        <f t="shared" si="22"/>
        <v>3751</v>
      </c>
      <c r="I25" s="67">
        <f>I20-I22+I24</f>
        <v>4399</v>
      </c>
      <c r="J25" s="67">
        <f>J20-J22+J24</f>
        <v>4152</v>
      </c>
      <c r="K25" s="67">
        <f>K20-K22</f>
        <v>4384.4217836154139</v>
      </c>
      <c r="L25" s="67">
        <f>L20-L22</f>
        <v>4844.2533652283182</v>
      </c>
      <c r="M25" s="67">
        <f>M20-M22</f>
        <v>5481.9216787640216</v>
      </c>
      <c r="N25" s="67">
        <f>N20-N22</f>
        <v>6201.9416286709129</v>
      </c>
      <c r="O25" s="67">
        <f>O20-O22</f>
        <v>7012.8643088670151</v>
      </c>
      <c r="P25" s="67">
        <f t="shared" ref="P25:U25" si="23">P20-P22</f>
        <v>7924.132416203247</v>
      </c>
      <c r="Q25" s="67">
        <f t="shared" si="23"/>
        <v>8946.1722705821412</v>
      </c>
      <c r="R25" s="67">
        <f t="shared" si="23"/>
        <v>10090.495300304256</v>
      </c>
      <c r="S25" s="67">
        <f t="shared" si="23"/>
        <v>11369.809964465352</v>
      </c>
      <c r="T25" s="67">
        <f t="shared" si="23"/>
        <v>12798.145183921242</v>
      </c>
      <c r="U25" s="67">
        <f t="shared" si="23"/>
        <v>14390.986462254041</v>
      </c>
    </row>
    <row r="26" spans="1:21" ht="15" customHeight="1" thickBot="1">
      <c r="A26" s="12" t="s">
        <v>29</v>
      </c>
      <c r="B26" s="26">
        <v>-278</v>
      </c>
      <c r="C26" s="26">
        <v>-254</v>
      </c>
      <c r="D26" s="26">
        <v>-50</v>
      </c>
      <c r="E26" s="26">
        <v>-266</v>
      </c>
      <c r="F26" s="26">
        <v>-1059</v>
      </c>
      <c r="G26" s="26">
        <v>-1011</v>
      </c>
      <c r="H26" s="26">
        <v>-1903</v>
      </c>
      <c r="I26" s="26">
        <v>-2510</v>
      </c>
      <c r="J26" s="26">
        <v>-1948</v>
      </c>
      <c r="K26" s="26">
        <f>-K27*K25</f>
        <v>-2060.6782382992446</v>
      </c>
      <c r="L26" s="26">
        <f t="shared" ref="L26:O26" si="24">-L27*L25</f>
        <v>-2276.7990816573092</v>
      </c>
      <c r="M26" s="26">
        <f t="shared" si="24"/>
        <v>-2576.5031890190899</v>
      </c>
      <c r="N26" s="26">
        <f t="shared" si="24"/>
        <v>-2914.9125654753288</v>
      </c>
      <c r="O26" s="26">
        <f t="shared" si="24"/>
        <v>-3296.0462251674967</v>
      </c>
      <c r="P26" s="26">
        <f t="shared" ref="P26" si="25">-P27*P25</f>
        <v>-3724.3422356155261</v>
      </c>
      <c r="Q26" s="26">
        <f t="shared" ref="Q26" si="26">-Q27*Q25</f>
        <v>-4204.7009671736059</v>
      </c>
      <c r="R26" s="26">
        <f t="shared" ref="R26" si="27">-R27*R25</f>
        <v>-4742.5327911429995</v>
      </c>
      <c r="S26" s="26">
        <f t="shared" ref="S26" si="28">-S27*S25</f>
        <v>-5343.810683298715</v>
      </c>
      <c r="T26" s="26">
        <f t="shared" ref="T26" si="29">-T27*T25</f>
        <v>-6015.1282364429835</v>
      </c>
      <c r="U26" s="26">
        <f t="shared" ref="U26" si="30">-U27*U25</f>
        <v>-6763.7636372593988</v>
      </c>
    </row>
    <row r="27" spans="1:21" ht="15" customHeight="1" thickBot="1">
      <c r="A27" s="24" t="s">
        <v>105</v>
      </c>
      <c r="B27" s="88">
        <f>-B26/B25</f>
        <v>0.13269689737470167</v>
      </c>
      <c r="C27" s="88">
        <f t="shared" ref="C27:J27" si="31">-C26/C25</f>
        <v>0.10115491835921943</v>
      </c>
      <c r="D27" s="88">
        <f t="shared" si="31"/>
        <v>-0.5376344086021505</v>
      </c>
      <c r="E27" s="88">
        <f t="shared" si="31"/>
        <v>0.30751445086705204</v>
      </c>
      <c r="F27" s="88">
        <f t="shared" si="31"/>
        <v>0.19739049394221808</v>
      </c>
      <c r="G27" s="88">
        <f t="shared" si="31"/>
        <v>0.22572002679169456</v>
      </c>
      <c r="H27" s="88">
        <f t="shared" si="31"/>
        <v>0.50733137829912023</v>
      </c>
      <c r="I27" s="88">
        <f t="shared" si="31"/>
        <v>0.57058422368720163</v>
      </c>
      <c r="J27" s="88">
        <f t="shared" si="31"/>
        <v>0.46917148362235067</v>
      </c>
      <c r="K27" s="88">
        <v>0.47</v>
      </c>
      <c r="L27" s="88">
        <v>0.47</v>
      </c>
      <c r="M27" s="88">
        <v>0.47</v>
      </c>
      <c r="N27" s="88">
        <v>0.47</v>
      </c>
      <c r="O27" s="88">
        <v>0.47</v>
      </c>
      <c r="P27" s="88">
        <v>0.47</v>
      </c>
      <c r="Q27" s="88">
        <v>0.47</v>
      </c>
      <c r="R27" s="88">
        <v>0.47</v>
      </c>
      <c r="S27" s="88">
        <v>0.47</v>
      </c>
      <c r="T27" s="88">
        <v>0.47</v>
      </c>
      <c r="U27" s="88">
        <v>0.47</v>
      </c>
    </row>
    <row r="28" spans="1:21" ht="26.25" customHeight="1" thickBot="1">
      <c r="A28" s="15" t="s">
        <v>30</v>
      </c>
      <c r="B28" s="68">
        <f>B26+B25</f>
        <v>1817</v>
      </c>
      <c r="C28" s="68">
        <f t="shared" ref="C28:J28" si="32">C26+C25</f>
        <v>2257</v>
      </c>
      <c r="D28" s="68">
        <f t="shared" si="32"/>
        <v>-143</v>
      </c>
      <c r="E28" s="68">
        <f t="shared" si="32"/>
        <v>599</v>
      </c>
      <c r="F28" s="68">
        <f t="shared" si="32"/>
        <v>4306</v>
      </c>
      <c r="G28" s="68">
        <f t="shared" si="32"/>
        <v>3468</v>
      </c>
      <c r="H28" s="68">
        <f t="shared" si="32"/>
        <v>1848</v>
      </c>
      <c r="I28" s="68">
        <f t="shared" si="32"/>
        <v>1889</v>
      </c>
      <c r="J28" s="68">
        <f t="shared" si="32"/>
        <v>2204</v>
      </c>
      <c r="K28" s="68">
        <f>K26+K25</f>
        <v>2323.7435453161693</v>
      </c>
      <c r="L28" s="68">
        <f>L26+L25</f>
        <v>2567.454283571009</v>
      </c>
      <c r="M28" s="68">
        <f>M26+M25</f>
        <v>2905.4184897449318</v>
      </c>
      <c r="N28" s="68">
        <f>N26+N25</f>
        <v>3287.0290631955841</v>
      </c>
      <c r="O28" s="68">
        <f>O26+O25</f>
        <v>3716.8180836995184</v>
      </c>
      <c r="P28" s="68">
        <f t="shared" ref="P28:U28" si="33">P26+P25</f>
        <v>4199.7901805877209</v>
      </c>
      <c r="Q28" s="68">
        <f t="shared" si="33"/>
        <v>4741.4713034085353</v>
      </c>
      <c r="R28" s="68">
        <f t="shared" si="33"/>
        <v>5347.9625091612561</v>
      </c>
      <c r="S28" s="68">
        <f t="shared" si="33"/>
        <v>6025.999281166637</v>
      </c>
      <c r="T28" s="68">
        <f t="shared" si="33"/>
        <v>6783.0169474782588</v>
      </c>
      <c r="U28" s="68">
        <f t="shared" si="33"/>
        <v>7627.222824994642</v>
      </c>
    </row>
    <row r="29" spans="1:21" ht="15" customHeight="1" thickBot="1">
      <c r="A29" s="12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</row>
    <row r="30" spans="1:21" ht="15" customHeight="1" thickBot="1">
      <c r="A30" s="12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</row>
    <row r="31" spans="1:21" s="22" customFormat="1" ht="15" customHeight="1" thickBot="1">
      <c r="A31" s="12" t="s">
        <v>32</v>
      </c>
      <c r="B31" s="26">
        <v>1454</v>
      </c>
      <c r="C31" s="26">
        <v>1457.75</v>
      </c>
      <c r="D31" s="26">
        <v>1454.25</v>
      </c>
      <c r="E31" s="26">
        <v>1460</v>
      </c>
      <c r="F31" s="26">
        <v>1481.6</v>
      </c>
      <c r="G31" s="26">
        <v>1451.25</v>
      </c>
      <c r="H31" s="26">
        <v>1443</v>
      </c>
      <c r="I31" s="26">
        <v>1444.5</v>
      </c>
      <c r="J31" s="26">
        <v>1443.25</v>
      </c>
      <c r="K31" s="26">
        <f>J31</f>
        <v>1443.25</v>
      </c>
      <c r="L31" s="26">
        <f>K31</f>
        <v>1443.25</v>
      </c>
      <c r="M31" s="26">
        <f>L31</f>
        <v>1443.25</v>
      </c>
      <c r="N31" s="26">
        <f>M31</f>
        <v>1443.25</v>
      </c>
      <c r="O31" s="26">
        <f>N31</f>
        <v>1443.25</v>
      </c>
      <c r="P31" s="26">
        <f t="shared" ref="P31:U31" si="34">O31</f>
        <v>1443.25</v>
      </c>
      <c r="Q31" s="26">
        <f t="shared" si="34"/>
        <v>1443.25</v>
      </c>
      <c r="R31" s="26">
        <f t="shared" si="34"/>
        <v>1443.25</v>
      </c>
      <c r="S31" s="26">
        <f t="shared" si="34"/>
        <v>1443.25</v>
      </c>
      <c r="T31" s="26">
        <f t="shared" si="34"/>
        <v>1443.25</v>
      </c>
      <c r="U31" s="26">
        <f t="shared" si="34"/>
        <v>1443.25</v>
      </c>
    </row>
    <row r="32" spans="1:21" ht="15" customHeight="1" thickBot="1">
      <c r="A32" s="32" t="s">
        <v>33</v>
      </c>
      <c r="B32" s="69">
        <f t="shared" ref="B32:I32" si="35">B28/B31</f>
        <v>1.249656121045392</v>
      </c>
      <c r="C32" s="69">
        <f t="shared" si="35"/>
        <v>1.5482764534385183</v>
      </c>
      <c r="D32" s="69">
        <f t="shared" si="35"/>
        <v>-9.8332473783737315E-2</v>
      </c>
      <c r="E32" s="69">
        <f t="shared" si="35"/>
        <v>0.41027397260273973</v>
      </c>
      <c r="F32" s="69">
        <f t="shared" si="35"/>
        <v>2.9063174946004322</v>
      </c>
      <c r="G32" s="69">
        <f t="shared" si="35"/>
        <v>2.3896640826873385</v>
      </c>
      <c r="H32" s="69">
        <f t="shared" si="35"/>
        <v>1.2806652806652807</v>
      </c>
      <c r="I32" s="69">
        <f t="shared" si="35"/>
        <v>1.3077189338871582</v>
      </c>
      <c r="J32" s="69">
        <f t="shared" ref="J32:O32" si="36">J28/J31</f>
        <v>1.5271089554824182</v>
      </c>
      <c r="K32" s="69">
        <f t="shared" si="36"/>
        <v>1.6100769411509921</v>
      </c>
      <c r="L32" s="69">
        <f t="shared" si="36"/>
        <v>1.7789393962037132</v>
      </c>
      <c r="M32" s="69">
        <f t="shared" si="36"/>
        <v>2.0131082554962285</v>
      </c>
      <c r="N32" s="69">
        <f t="shared" si="36"/>
        <v>2.2775188381746641</v>
      </c>
      <c r="O32" s="69">
        <f t="shared" si="36"/>
        <v>2.575311334626377</v>
      </c>
      <c r="P32" s="69">
        <f t="shared" ref="P32" si="37">P28/P31</f>
        <v>2.9099533556817745</v>
      </c>
      <c r="Q32" s="69">
        <f t="shared" ref="Q32" si="38">Q28/Q31</f>
        <v>3.2852737248630075</v>
      </c>
      <c r="R32" s="69">
        <f t="shared" ref="R32" si="39">R28/R31</f>
        <v>3.7054997465174129</v>
      </c>
      <c r="S32" s="69">
        <f t="shared" ref="S32" si="40">S28/S31</f>
        <v>4.1752983067151481</v>
      </c>
      <c r="T32" s="69">
        <f t="shared" ref="T32" si="41">T28/T31</f>
        <v>4.6998212004006641</v>
      </c>
      <c r="U32" s="69">
        <f t="shared" ref="U32" si="42">U28/U31</f>
        <v>5.2847551186520993</v>
      </c>
    </row>
    <row r="33" spans="1:21" s="51" customFormat="1" ht="15" customHeight="1">
      <c r="A33" s="50"/>
      <c r="B33" s="52"/>
      <c r="C33" s="52"/>
      <c r="D33" s="52"/>
      <c r="E33" s="52"/>
      <c r="F33" s="52"/>
      <c r="G33" s="52"/>
      <c r="H33" s="52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</row>
    <row r="34" spans="1:21" s="51" customFormat="1" ht="15" customHeight="1">
      <c r="A34" s="50"/>
      <c r="B34" s="52"/>
      <c r="C34" s="52"/>
      <c r="D34" s="52"/>
      <c r="E34" s="52"/>
      <c r="F34" s="52"/>
      <c r="G34" s="52"/>
      <c r="H34" s="52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</row>
    <row r="35" spans="1:21" s="51" customFormat="1" ht="15" customHeight="1" thickBot="1">
      <c r="A35" s="60" t="s">
        <v>14</v>
      </c>
      <c r="B35" s="52"/>
      <c r="C35" s="52"/>
      <c r="D35" s="52"/>
      <c r="E35" s="52"/>
      <c r="F35" s="52"/>
      <c r="G35" s="52"/>
      <c r="H35" s="52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 ht="15" customHeight="1" thickBot="1">
      <c r="A36" s="16" t="s">
        <v>6</v>
      </c>
      <c r="B36" s="19">
        <f t="shared" ref="B36:I36" si="43">B25</f>
        <v>2095</v>
      </c>
      <c r="C36" s="19">
        <f t="shared" si="43"/>
        <v>2511</v>
      </c>
      <c r="D36" s="19">
        <f t="shared" si="43"/>
        <v>-93</v>
      </c>
      <c r="E36" s="19">
        <f t="shared" si="43"/>
        <v>865</v>
      </c>
      <c r="F36" s="19">
        <f t="shared" si="43"/>
        <v>5365</v>
      </c>
      <c r="G36" s="19">
        <f t="shared" si="43"/>
        <v>4479</v>
      </c>
      <c r="H36" s="19">
        <f t="shared" si="43"/>
        <v>3751</v>
      </c>
      <c r="I36" s="19">
        <f t="shared" si="43"/>
        <v>4399</v>
      </c>
      <c r="J36" s="19">
        <f t="shared" ref="J36" si="44">J25</f>
        <v>4152</v>
      </c>
      <c r="K36" s="19">
        <f t="shared" ref="K36:O36" si="45">K25</f>
        <v>4384.4217836154139</v>
      </c>
      <c r="L36" s="19">
        <f t="shared" si="45"/>
        <v>4844.2533652283182</v>
      </c>
      <c r="M36" s="19">
        <f t="shared" si="45"/>
        <v>5481.9216787640216</v>
      </c>
      <c r="N36" s="19">
        <f t="shared" si="45"/>
        <v>6201.9416286709129</v>
      </c>
      <c r="O36" s="19">
        <f t="shared" si="45"/>
        <v>7012.8643088670151</v>
      </c>
      <c r="P36" s="19">
        <f t="shared" ref="P36:U36" si="46">P25</f>
        <v>7924.132416203247</v>
      </c>
      <c r="Q36" s="19">
        <f t="shared" si="46"/>
        <v>8946.1722705821412</v>
      </c>
      <c r="R36" s="19">
        <f t="shared" si="46"/>
        <v>10090.495300304256</v>
      </c>
      <c r="S36" s="19">
        <f t="shared" si="46"/>
        <v>11369.809964465352</v>
      </c>
      <c r="T36" s="19">
        <f t="shared" si="46"/>
        <v>12798.145183921242</v>
      </c>
      <c r="U36" s="19">
        <f t="shared" si="46"/>
        <v>14390.986462254041</v>
      </c>
    </row>
    <row r="37" spans="1:21" ht="15" customHeight="1" thickBot="1">
      <c r="A37" s="12" t="s">
        <v>13</v>
      </c>
      <c r="B37" s="41">
        <f t="shared" ref="B37:I37" si="47">B8</f>
        <v>1714</v>
      </c>
      <c r="C37" s="41">
        <f t="shared" si="47"/>
        <v>1754</v>
      </c>
      <c r="D37" s="41">
        <f t="shared" si="47"/>
        <v>1412</v>
      </c>
      <c r="E37" s="41">
        <f t="shared" si="47"/>
        <v>1528</v>
      </c>
      <c r="F37" s="41">
        <f t="shared" si="47"/>
        <v>1998</v>
      </c>
      <c r="G37" s="41">
        <f t="shared" si="47"/>
        <v>2019</v>
      </c>
      <c r="H37" s="41">
        <f t="shared" si="47"/>
        <v>2074</v>
      </c>
      <c r="I37" s="41">
        <f t="shared" si="47"/>
        <v>2241</v>
      </c>
      <c r="J37" s="41">
        <f>J8</f>
        <v>2244</v>
      </c>
      <c r="K37" s="41">
        <f t="shared" ref="K37:O37" si="48">K8</f>
        <v>2532.8481140321933</v>
      </c>
      <c r="L37" s="41">
        <f t="shared" si="48"/>
        <v>2630.9610646554206</v>
      </c>
      <c r="M37" s="41">
        <f t="shared" si="48"/>
        <v>2762.5091178881908</v>
      </c>
      <c r="N37" s="41">
        <f t="shared" si="48"/>
        <v>2900.6345737826009</v>
      </c>
      <c r="O37" s="41">
        <f t="shared" si="48"/>
        <v>3045.6663024717313</v>
      </c>
      <c r="P37" s="41">
        <f t="shared" ref="P37:U37" si="49">P8</f>
        <v>3197.9496175953168</v>
      </c>
      <c r="Q37" s="41">
        <f t="shared" si="49"/>
        <v>3357.8470984750834</v>
      </c>
      <c r="R37" s="41">
        <f t="shared" si="49"/>
        <v>3525.7394533988386</v>
      </c>
      <c r="S37" s="41">
        <f t="shared" si="49"/>
        <v>3702.0264260687804</v>
      </c>
      <c r="T37" s="41">
        <f t="shared" si="49"/>
        <v>3887.1277473722198</v>
      </c>
      <c r="U37" s="41">
        <f t="shared" si="49"/>
        <v>4081.484134740831</v>
      </c>
    </row>
    <row r="38" spans="1:21" ht="15" customHeight="1" thickBot="1">
      <c r="A38" s="12" t="s">
        <v>15</v>
      </c>
      <c r="B38" s="41">
        <f t="shared" ref="B38:I38" si="50">B22</f>
        <v>883</v>
      </c>
      <c r="C38" s="41">
        <f t="shared" si="50"/>
        <v>1374</v>
      </c>
      <c r="D38" s="41">
        <f t="shared" si="50"/>
        <v>569</v>
      </c>
      <c r="E38" s="41">
        <f t="shared" si="50"/>
        <v>944</v>
      </c>
      <c r="F38" s="41">
        <f t="shared" si="50"/>
        <v>2299</v>
      </c>
      <c r="G38" s="41">
        <f t="shared" si="50"/>
        <v>2267</v>
      </c>
      <c r="H38" s="41">
        <f t="shared" si="50"/>
        <v>2270</v>
      </c>
      <c r="I38" s="41">
        <f t="shared" si="50"/>
        <v>2523</v>
      </c>
      <c r="J38" s="41">
        <f>J22</f>
        <v>2221</v>
      </c>
      <c r="K38" s="41">
        <f t="shared" ref="K38:O38" si="51">K22</f>
        <v>2360.842498869838</v>
      </c>
      <c r="L38" s="41">
        <f t="shared" si="51"/>
        <v>2608.4441197383253</v>
      </c>
      <c r="M38" s="41">
        <f t="shared" si="51"/>
        <v>2951.803980872935</v>
      </c>
      <c r="N38" s="41">
        <f t="shared" si="51"/>
        <v>3339.5070308227987</v>
      </c>
      <c r="O38" s="41">
        <f t="shared" si="51"/>
        <v>3776.1577047745459</v>
      </c>
      <c r="P38" s="41">
        <f t="shared" ref="P38:U38" si="52">P22</f>
        <v>4266.8405318017485</v>
      </c>
      <c r="Q38" s="41">
        <f t="shared" si="52"/>
        <v>4817.169684159614</v>
      </c>
      <c r="R38" s="41">
        <f t="shared" si="52"/>
        <v>5433.343623240753</v>
      </c>
      <c r="S38" s="41">
        <f t="shared" si="52"/>
        <v>6122.2053654813426</v>
      </c>
      <c r="T38" s="41">
        <f t="shared" si="52"/>
        <v>6891.3089451883607</v>
      </c>
      <c r="U38" s="41">
        <f t="shared" si="52"/>
        <v>7748.9927104444832</v>
      </c>
    </row>
    <row r="39" spans="1:21" ht="15" customHeight="1" thickBot="1">
      <c r="A39" s="12" t="s">
        <v>107</v>
      </c>
      <c r="B39" s="41">
        <f t="shared" ref="B39:I39" si="53">-(B17+B18)</f>
        <v>584</v>
      </c>
      <c r="C39" s="41">
        <f t="shared" si="53"/>
        <v>669</v>
      </c>
      <c r="D39" s="41">
        <f t="shared" si="53"/>
        <v>365</v>
      </c>
      <c r="E39" s="41">
        <f t="shared" si="53"/>
        <v>167</v>
      </c>
      <c r="F39" s="41">
        <f t="shared" si="53"/>
        <v>627</v>
      </c>
      <c r="G39" s="41">
        <f t="shared" si="53"/>
        <v>320</v>
      </c>
      <c r="H39" s="41">
        <f t="shared" si="53"/>
        <v>219</v>
      </c>
      <c r="I39" s="41">
        <f t="shared" si="53"/>
        <v>-43</v>
      </c>
      <c r="J39" s="41">
        <f>-(J17+J18)</f>
        <v>146</v>
      </c>
      <c r="K39" s="41">
        <f t="shared" ref="K39:O39" si="54">-(K17+K18)</f>
        <v>146</v>
      </c>
      <c r="L39" s="41">
        <f t="shared" si="54"/>
        <v>237.32222344564067</v>
      </c>
      <c r="M39" s="41">
        <f t="shared" si="54"/>
        <v>237.6050060319925</v>
      </c>
      <c r="N39" s="41">
        <f t="shared" si="54"/>
        <v>220.81653340794159</v>
      </c>
      <c r="O39" s="41">
        <f t="shared" si="54"/>
        <v>185.48965223422178</v>
      </c>
      <c r="P39" s="41">
        <f t="shared" ref="P39:U39" si="55">-(P17+P18)</f>
        <v>130.00616885984869</v>
      </c>
      <c r="Q39" s="41">
        <f t="shared" si="55"/>
        <v>52.581527100381265</v>
      </c>
      <c r="R39" s="41">
        <f t="shared" si="55"/>
        <v>-48.752079040477554</v>
      </c>
      <c r="S39" s="41">
        <f t="shared" si="55"/>
        <v>-176.16431781820273</v>
      </c>
      <c r="T39" s="41">
        <f t="shared" si="55"/>
        <v>-332.04723387258269</v>
      </c>
      <c r="U39" s="41">
        <f t="shared" si="55"/>
        <v>-519.03785861608549</v>
      </c>
    </row>
    <row r="40" spans="1:21" s="51" customFormat="1" ht="15" customHeight="1" thickBot="1">
      <c r="A40" s="16" t="s">
        <v>14</v>
      </c>
      <c r="B40" s="20">
        <f t="shared" ref="B40:I40" si="56">B39+B38+B37+B36</f>
        <v>5276</v>
      </c>
      <c r="C40" s="20">
        <f t="shared" si="56"/>
        <v>6308</v>
      </c>
      <c r="D40" s="20">
        <f t="shared" si="56"/>
        <v>2253</v>
      </c>
      <c r="E40" s="20">
        <f t="shared" si="56"/>
        <v>3504</v>
      </c>
      <c r="F40" s="20">
        <f t="shared" si="56"/>
        <v>10289</v>
      </c>
      <c r="G40" s="20">
        <f t="shared" si="56"/>
        <v>9085</v>
      </c>
      <c r="H40" s="20">
        <f t="shared" si="56"/>
        <v>8314</v>
      </c>
      <c r="I40" s="20">
        <f t="shared" si="56"/>
        <v>9120</v>
      </c>
      <c r="J40" s="20">
        <f>J39+J38+J37+J36</f>
        <v>8763</v>
      </c>
      <c r="K40" s="20">
        <f t="shared" ref="K40:O40" si="57">K39+K38+K37+K36</f>
        <v>9424.1123965174447</v>
      </c>
      <c r="L40" s="20">
        <f t="shared" si="57"/>
        <v>10320.980773067706</v>
      </c>
      <c r="M40" s="20">
        <f t="shared" si="57"/>
        <v>11433.83978355714</v>
      </c>
      <c r="N40" s="20">
        <f t="shared" si="57"/>
        <v>12662.899766684255</v>
      </c>
      <c r="O40" s="20">
        <f t="shared" si="57"/>
        <v>14020.177968347514</v>
      </c>
      <c r="P40" s="20">
        <f t="shared" ref="P40" si="58">P39+P38+P37+P36</f>
        <v>15518.928734460162</v>
      </c>
      <c r="Q40" s="20">
        <f t="shared" ref="Q40" si="59">Q39+Q38+Q37+Q36</f>
        <v>17173.770580317221</v>
      </c>
      <c r="R40" s="20">
        <f t="shared" ref="R40" si="60">R39+R38+R37+R36</f>
        <v>19000.826297903368</v>
      </c>
      <c r="S40" s="20">
        <f t="shared" ref="S40" si="61">S39+S38+S37+S36</f>
        <v>21017.877438197273</v>
      </c>
      <c r="T40" s="20">
        <f t="shared" ref="T40" si="62">T39+T38+T37+T36</f>
        <v>23244.53464260924</v>
      </c>
      <c r="U40" s="20">
        <f t="shared" ref="U40" si="63">U39+U38+U37+U36</f>
        <v>25702.425448823269</v>
      </c>
    </row>
    <row r="41" spans="1:21" s="48" customFormat="1" ht="15" customHeight="1" thickBot="1">
      <c r="A41" s="24" t="s">
        <v>5</v>
      </c>
      <c r="B41" s="28"/>
      <c r="C41" s="28">
        <f t="shared" ref="C41" si="64">C40/B40-1</f>
        <v>0.19560272934040945</v>
      </c>
      <c r="D41" s="28">
        <f t="shared" ref="D41" si="65">D40/C40-1</f>
        <v>-0.64283449587824992</v>
      </c>
      <c r="E41" s="28">
        <f t="shared" ref="E41" si="66">E40/D40-1</f>
        <v>0.55525965379494013</v>
      </c>
      <c r="F41" s="28">
        <f t="shared" ref="F41" si="67">F40/E40-1</f>
        <v>1.9363584474885847</v>
      </c>
      <c r="G41" s="28">
        <f t="shared" ref="G41" si="68">G40/F40-1</f>
        <v>-0.11701817474973275</v>
      </c>
      <c r="H41" s="28">
        <f t="shared" ref="H41" si="69">H40/G40-1</f>
        <v>-8.4865162355531099E-2</v>
      </c>
      <c r="I41" s="28">
        <f t="shared" ref="I41" si="70">I40/H40-1</f>
        <v>9.6944912196295308E-2</v>
      </c>
      <c r="J41" s="28">
        <f t="shared" ref="J41:O41" si="71">J40/I40-1</f>
        <v>-3.9144736842105288E-2</v>
      </c>
      <c r="K41" s="28">
        <f t="shared" si="71"/>
        <v>7.5443614802858106E-2</v>
      </c>
      <c r="L41" s="28">
        <f t="shared" si="71"/>
        <v>9.5167410872740277E-2</v>
      </c>
      <c r="M41" s="28">
        <f t="shared" si="71"/>
        <v>0.10782492816897848</v>
      </c>
      <c r="N41" s="28">
        <f t="shared" si="71"/>
        <v>0.10749319619596309</v>
      </c>
      <c r="O41" s="28">
        <f t="shared" si="71"/>
        <v>0.10718541776933432</v>
      </c>
      <c r="P41" s="28">
        <f t="shared" ref="P41" si="72">P40/O40-1</f>
        <v>0.1068995535931343</v>
      </c>
      <c r="Q41" s="28">
        <f t="shared" ref="Q41" si="73">Q40/P40-1</f>
        <v>0.10663376797281399</v>
      </c>
      <c r="R41" s="28">
        <f t="shared" ref="R41" si="74">R40/Q40-1</f>
        <v>0.10638640530578214</v>
      </c>
      <c r="S41" s="28">
        <f t="shared" ref="S41" si="75">S40/R40-1</f>
        <v>0.10615596967572261</v>
      </c>
      <c r="T41" s="28">
        <f t="shared" ref="T41" si="76">T40/S40-1</f>
        <v>0.10594110708654658</v>
      </c>
      <c r="U41" s="28">
        <f t="shared" ref="U41" si="77">U40/T40-1</f>
        <v>0.10574058994962643</v>
      </c>
    </row>
    <row r="42" spans="1:21" ht="15" customHeight="1">
      <c r="F42" s="29"/>
      <c r="P42" s="1"/>
    </row>
    <row r="43" spans="1:21" ht="15" customHeight="1">
      <c r="F43" s="29"/>
      <c r="P43" s="1"/>
    </row>
    <row r="44" spans="1:21" ht="15" customHeight="1">
      <c r="F44" s="29"/>
      <c r="P44" s="1"/>
    </row>
    <row r="45" spans="1:21" ht="15" customHeight="1">
      <c r="F45" s="29"/>
      <c r="P45" s="1"/>
    </row>
    <row r="46" spans="1:21" ht="15" customHeight="1">
      <c r="F46" s="29"/>
      <c r="P46" s="1"/>
    </row>
    <row r="47" spans="1:21" ht="15" customHeight="1">
      <c r="F47" s="29"/>
      <c r="P47" s="1"/>
    </row>
    <row r="48" spans="1:21" ht="15" customHeight="1">
      <c r="F48" s="29"/>
      <c r="P48" s="1"/>
    </row>
    <row r="49" spans="6:16" ht="15" customHeight="1">
      <c r="F49" s="29"/>
      <c r="P49" s="1"/>
    </row>
    <row r="50" spans="6:16" ht="15" customHeight="1">
      <c r="F50" s="29"/>
      <c r="P50" s="1"/>
    </row>
    <row r="51" spans="6:16" ht="15" customHeight="1">
      <c r="F51" s="29"/>
      <c r="P51" s="1"/>
    </row>
    <row r="52" spans="6:16" ht="15" customHeight="1">
      <c r="F52" s="29"/>
      <c r="P52" s="1"/>
    </row>
    <row r="53" spans="6:16" ht="15" customHeight="1">
      <c r="F53" s="29"/>
      <c r="P53" s="1"/>
    </row>
    <row r="54" spans="6:16" ht="15" customHeight="1">
      <c r="F54" s="29"/>
      <c r="P54" s="1"/>
    </row>
    <row r="55" spans="6:16" ht="15" customHeight="1">
      <c r="F55" s="29"/>
      <c r="P55" s="1"/>
    </row>
    <row r="56" spans="6:16" ht="15" customHeight="1">
      <c r="F56" s="29"/>
      <c r="P56" s="1"/>
    </row>
    <row r="57" spans="6:16" ht="15" customHeight="1">
      <c r="F57" s="29"/>
      <c r="P57" s="1"/>
    </row>
    <row r="58" spans="6:16" ht="15" customHeight="1">
      <c r="F58" s="29"/>
    </row>
    <row r="59" spans="6:16" ht="15" customHeight="1">
      <c r="F59" s="29"/>
    </row>
  </sheetData>
  <phoneticPr fontId="5" type="noConversion"/>
  <pageMargins left="0.25" right="0.25" top="0.75" bottom="0.75" header="0.3" footer="0.3"/>
  <pageSetup paperSize="9" scale="5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E2B52-15E4-45DE-966D-CABA6CE1A315}">
  <sheetPr codeName="Sheet5">
    <pageSetUpPr fitToPage="1"/>
  </sheetPr>
  <dimension ref="A1:CG176"/>
  <sheetViews>
    <sheetView zoomScale="130" zoomScaleNormal="130" workbookViewId="0">
      <pane xSplit="1" ySplit="2" topLeftCell="B3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ColWidth="9.109375" defaultRowHeight="13.2"/>
  <cols>
    <col min="1" max="1" width="41.44140625" customWidth="1"/>
    <col min="2" max="15" width="10.6640625" customWidth="1"/>
    <col min="16" max="16" width="11.44140625" style="74" customWidth="1"/>
    <col min="17" max="17" width="9.5546875" style="74" bestFit="1" customWidth="1"/>
    <col min="18" max="18" width="10.44140625" style="74" customWidth="1"/>
    <col min="19" max="16384" width="9.109375" style="74"/>
  </cols>
  <sheetData>
    <row r="1" spans="1:85" s="1" customFormat="1" ht="24.75" customHeight="1" thickBot="1">
      <c r="A1" s="3"/>
    </row>
    <row r="2" spans="1:85" s="1" customFormat="1" ht="22.5" customHeight="1" thickTop="1" thickBot="1">
      <c r="A2" s="73" t="s">
        <v>17</v>
      </c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85" s="1" customFormat="1" ht="22.5" customHeight="1">
      <c r="A3" s="7" t="s">
        <v>9</v>
      </c>
      <c r="B3" s="8">
        <f t="shared" ref="B3:O3" si="0">B2</f>
        <v>2017</v>
      </c>
      <c r="C3" s="8">
        <f t="shared" si="0"/>
        <v>2018</v>
      </c>
      <c r="D3" s="8">
        <f t="shared" si="0"/>
        <v>2019</v>
      </c>
      <c r="E3" s="8">
        <f t="shared" si="0"/>
        <v>2020</v>
      </c>
      <c r="F3" s="8">
        <f t="shared" si="0"/>
        <v>2021</v>
      </c>
      <c r="G3" s="8">
        <f t="shared" si="0"/>
        <v>2022</v>
      </c>
      <c r="H3" s="8">
        <f t="shared" si="0"/>
        <v>2023</v>
      </c>
      <c r="I3" s="8">
        <f t="shared" si="0"/>
        <v>2024</v>
      </c>
      <c r="J3" s="8">
        <f t="shared" si="0"/>
        <v>2025</v>
      </c>
      <c r="K3" s="8">
        <f t="shared" si="0"/>
        <v>2026</v>
      </c>
      <c r="L3" s="8">
        <f t="shared" si="0"/>
        <v>2027</v>
      </c>
      <c r="M3" s="8">
        <f t="shared" si="0"/>
        <v>2028</v>
      </c>
      <c r="N3" s="8">
        <f t="shared" si="0"/>
        <v>2029</v>
      </c>
      <c r="O3" s="8">
        <f t="shared" si="0"/>
        <v>2030</v>
      </c>
      <c r="P3" s="8">
        <f t="shared" ref="P3:U3" si="1">P2</f>
        <v>2031</v>
      </c>
      <c r="Q3" s="8">
        <f t="shared" si="1"/>
        <v>2032</v>
      </c>
      <c r="R3" s="8">
        <f t="shared" si="1"/>
        <v>2033</v>
      </c>
      <c r="S3" s="8">
        <f t="shared" si="1"/>
        <v>2034</v>
      </c>
      <c r="T3" s="8">
        <f t="shared" si="1"/>
        <v>2035</v>
      </c>
      <c r="U3" s="8">
        <f t="shared" si="1"/>
        <v>2036</v>
      </c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</row>
    <row r="4" spans="1:85" s="18" customFormat="1" ht="15" customHeight="1" thickBot="1">
      <c r="A4" s="16" t="s">
        <v>45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</row>
    <row r="5" spans="1:85" s="18" customFormat="1" ht="15" customHeight="1" thickBot="1">
      <c r="A5" s="16" t="s">
        <v>43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</row>
    <row r="6" spans="1:85" ht="13.5" customHeight="1" thickBot="1">
      <c r="A6" s="12" t="s">
        <v>34</v>
      </c>
      <c r="B6" s="13">
        <v>4447.0000000000018</v>
      </c>
      <c r="C6" s="13">
        <v>4217.0000000000018</v>
      </c>
      <c r="D6" s="13">
        <v>2020</v>
      </c>
      <c r="E6" s="13">
        <v>3657</v>
      </c>
      <c r="F6" s="13">
        <v>8068</v>
      </c>
      <c r="G6" s="13">
        <v>8146</v>
      </c>
      <c r="H6" s="13">
        <v>4758</v>
      </c>
      <c r="I6" s="13">
        <v>3923</v>
      </c>
      <c r="J6" s="13">
        <v>3824</v>
      </c>
      <c r="K6" s="13">
        <f>'Cash Flow'!K36</f>
        <v>3445.9444138589834</v>
      </c>
      <c r="L6" s="13">
        <f>'Cash Flow'!L36</f>
        <v>3438.8748492001878</v>
      </c>
      <c r="M6" s="13">
        <f>'Cash Flow'!M36</f>
        <v>3858.5866648014608</v>
      </c>
      <c r="N6" s="13">
        <f>'Cash Flow'!N36</f>
        <v>4741.7586941444561</v>
      </c>
      <c r="O6" s="13">
        <f>'Cash Flow'!O36</f>
        <v>6128.8457785037835</v>
      </c>
      <c r="P6" s="13">
        <f>'Cash Flow'!P36</f>
        <v>8064.4618224904689</v>
      </c>
      <c r="Q6" s="13">
        <f>'Cash Flow'!Q36</f>
        <v>10597.801976011939</v>
      </c>
      <c r="R6" s="13">
        <f>'Cash Flow'!R36</f>
        <v>13783.107945455069</v>
      </c>
      <c r="S6" s="13">
        <f>'Cash Flow'!S36</f>
        <v>17680.180846814568</v>
      </c>
      <c r="T6" s="13">
        <f>'Cash Flow'!T36</f>
        <v>22354.946465402139</v>
      </c>
      <c r="U6" s="13">
        <f>'Cash Flow'!U36</f>
        <v>27880.07828498671</v>
      </c>
    </row>
    <row r="7" spans="1:85" ht="13.5" customHeight="1" thickBot="1">
      <c r="A7" s="12" t="s">
        <v>35</v>
      </c>
      <c r="B7" s="13">
        <v>1246</v>
      </c>
      <c r="C7" s="13">
        <v>829</v>
      </c>
      <c r="D7" s="13">
        <v>741</v>
      </c>
      <c r="E7" s="13">
        <v>892</v>
      </c>
      <c r="F7" s="13">
        <v>1168</v>
      </c>
      <c r="G7" s="13">
        <v>1336</v>
      </c>
      <c r="H7" s="13">
        <v>1209</v>
      </c>
      <c r="I7" s="13">
        <v>578</v>
      </c>
      <c r="J7" s="13">
        <v>977</v>
      </c>
      <c r="K7" s="13">
        <f>J7</f>
        <v>977</v>
      </c>
      <c r="L7" s="13">
        <f>K7</f>
        <v>977</v>
      </c>
      <c r="M7" s="13">
        <f>L7</f>
        <v>977</v>
      </c>
      <c r="N7" s="13">
        <f>M7</f>
        <v>977</v>
      </c>
      <c r="O7" s="13">
        <f>N7</f>
        <v>977</v>
      </c>
      <c r="P7" s="13">
        <f t="shared" ref="P7:U7" si="2">O7</f>
        <v>977</v>
      </c>
      <c r="Q7" s="13">
        <f t="shared" si="2"/>
        <v>977</v>
      </c>
      <c r="R7" s="13">
        <f t="shared" si="2"/>
        <v>977</v>
      </c>
      <c r="S7" s="13">
        <f t="shared" si="2"/>
        <v>977</v>
      </c>
      <c r="T7" s="13">
        <f t="shared" si="2"/>
        <v>977</v>
      </c>
      <c r="U7" s="13">
        <f t="shared" si="2"/>
        <v>977</v>
      </c>
    </row>
    <row r="8" spans="1:85" ht="13.5" customHeight="1" thickBot="1">
      <c r="A8" s="12" t="s">
        <v>36</v>
      </c>
      <c r="B8" s="13">
        <v>2471</v>
      </c>
      <c r="C8" s="13">
        <v>3306</v>
      </c>
      <c r="D8" s="13">
        <v>2930</v>
      </c>
      <c r="E8" s="13">
        <v>2879</v>
      </c>
      <c r="F8" s="13">
        <v>3327</v>
      </c>
      <c r="G8" s="13">
        <v>3797</v>
      </c>
      <c r="H8" s="13">
        <v>4641</v>
      </c>
      <c r="I8" s="13">
        <v>5420</v>
      </c>
      <c r="J8" s="13">
        <v>6070</v>
      </c>
      <c r="K8" s="13">
        <f>J8</f>
        <v>6070</v>
      </c>
      <c r="L8" s="13">
        <f t="shared" ref="L8:O8" si="3">K8</f>
        <v>6070</v>
      </c>
      <c r="M8" s="13">
        <f t="shared" si="3"/>
        <v>6070</v>
      </c>
      <c r="N8" s="13">
        <f t="shared" si="3"/>
        <v>6070</v>
      </c>
      <c r="O8" s="13">
        <f t="shared" si="3"/>
        <v>6070</v>
      </c>
      <c r="P8" s="13">
        <f t="shared" ref="P8:U8" si="4">O8</f>
        <v>6070</v>
      </c>
      <c r="Q8" s="13">
        <f t="shared" si="4"/>
        <v>6070</v>
      </c>
      <c r="R8" s="13">
        <f t="shared" si="4"/>
        <v>6070</v>
      </c>
      <c r="S8" s="13">
        <f t="shared" si="4"/>
        <v>6070</v>
      </c>
      <c r="T8" s="13">
        <f t="shared" si="4"/>
        <v>6070</v>
      </c>
      <c r="U8" s="13">
        <f t="shared" si="4"/>
        <v>6070</v>
      </c>
    </row>
    <row r="9" spans="1:85" ht="13.5" customHeight="1" thickBot="1">
      <c r="A9" s="12" t="s">
        <v>37</v>
      </c>
      <c r="B9" s="13">
        <v>1422</v>
      </c>
      <c r="C9" s="13">
        <v>1453</v>
      </c>
      <c r="D9" s="13">
        <v>1028</v>
      </c>
      <c r="E9" s="13">
        <v>1014</v>
      </c>
      <c r="F9" s="13">
        <v>1170</v>
      </c>
      <c r="G9" s="13">
        <v>1383</v>
      </c>
      <c r="H9" s="13">
        <v>1419</v>
      </c>
      <c r="I9" s="13">
        <v>1388</v>
      </c>
      <c r="J9" s="13">
        <v>1423</v>
      </c>
      <c r="K9" s="13">
        <f>J9</f>
        <v>1423</v>
      </c>
      <c r="L9" s="13">
        <f t="shared" ref="L9:O9" si="5">K9</f>
        <v>1423</v>
      </c>
      <c r="M9" s="13">
        <f t="shared" si="5"/>
        <v>1423</v>
      </c>
      <c r="N9" s="13">
        <f t="shared" si="5"/>
        <v>1423</v>
      </c>
      <c r="O9" s="13">
        <f t="shared" si="5"/>
        <v>1423</v>
      </c>
      <c r="P9" s="13">
        <f t="shared" ref="P9:U10" si="6">O9</f>
        <v>1423</v>
      </c>
      <c r="Q9" s="13">
        <f t="shared" si="6"/>
        <v>1423</v>
      </c>
      <c r="R9" s="13">
        <f t="shared" si="6"/>
        <v>1423</v>
      </c>
      <c r="S9" s="13">
        <f t="shared" si="6"/>
        <v>1423</v>
      </c>
      <c r="T9" s="13">
        <f t="shared" si="6"/>
        <v>1423</v>
      </c>
      <c r="U9" s="13">
        <f t="shared" si="6"/>
        <v>1423</v>
      </c>
    </row>
    <row r="10" spans="1:85" ht="13.5" customHeight="1">
      <c r="A10" s="6" t="s">
        <v>2</v>
      </c>
      <c r="B10" s="21">
        <v>1193</v>
      </c>
      <c r="C10" s="21">
        <v>915</v>
      </c>
      <c r="D10" s="21">
        <v>1081</v>
      </c>
      <c r="E10" s="21">
        <v>861</v>
      </c>
      <c r="F10" s="21">
        <v>1097</v>
      </c>
      <c r="G10" s="21">
        <v>951</v>
      </c>
      <c r="H10" s="21">
        <v>2038</v>
      </c>
      <c r="I10" s="21">
        <v>1987</v>
      </c>
      <c r="J10" s="21">
        <v>1496</v>
      </c>
      <c r="K10" s="21">
        <f t="shared" ref="K10:O10" si="7">J10</f>
        <v>1496</v>
      </c>
      <c r="L10" s="21">
        <f t="shared" si="7"/>
        <v>1496</v>
      </c>
      <c r="M10" s="21">
        <f t="shared" si="7"/>
        <v>1496</v>
      </c>
      <c r="N10" s="21">
        <f t="shared" si="7"/>
        <v>1496</v>
      </c>
      <c r="O10" s="21">
        <f t="shared" si="7"/>
        <v>1496</v>
      </c>
      <c r="P10" s="21">
        <f t="shared" si="6"/>
        <v>1496</v>
      </c>
      <c r="Q10" s="21">
        <f t="shared" si="6"/>
        <v>1496</v>
      </c>
      <c r="R10" s="21">
        <f t="shared" si="6"/>
        <v>1496</v>
      </c>
      <c r="S10" s="21">
        <f t="shared" si="6"/>
        <v>1496</v>
      </c>
      <c r="T10" s="21">
        <f t="shared" si="6"/>
        <v>1496</v>
      </c>
      <c r="U10" s="21">
        <f t="shared" si="6"/>
        <v>1496</v>
      </c>
    </row>
    <row r="11" spans="1:85" ht="13.5" customHeight="1">
      <c r="A11" s="71" t="s">
        <v>38</v>
      </c>
      <c r="B11" s="72">
        <v>10779.000000000002</v>
      </c>
      <c r="C11" s="72">
        <v>10720.000000000002</v>
      </c>
      <c r="D11" s="72">
        <v>7800</v>
      </c>
      <c r="E11" s="72">
        <v>9303</v>
      </c>
      <c r="F11" s="72">
        <v>14830</v>
      </c>
      <c r="G11" s="72">
        <v>15613</v>
      </c>
      <c r="H11" s="72">
        <v>14065</v>
      </c>
      <c r="I11" s="72">
        <v>13296</v>
      </c>
      <c r="J11" s="72">
        <v>13790</v>
      </c>
      <c r="K11" s="72">
        <f>SUM(K6:K10)</f>
        <v>13411.944413858982</v>
      </c>
      <c r="L11" s="72">
        <f t="shared" ref="L11:O11" si="8">SUM(L6:L10)</f>
        <v>13404.874849200187</v>
      </c>
      <c r="M11" s="72">
        <f t="shared" si="8"/>
        <v>13824.58666480146</v>
      </c>
      <c r="N11" s="72">
        <f t="shared" si="8"/>
        <v>14707.758694144457</v>
      </c>
      <c r="O11" s="72">
        <f t="shared" si="8"/>
        <v>16094.845778503783</v>
      </c>
      <c r="P11" s="72">
        <f t="shared" ref="P11" si="9">SUM(P6:P10)</f>
        <v>18030.46182249047</v>
      </c>
      <c r="Q11" s="72">
        <f t="shared" ref="Q11" si="10">SUM(Q6:Q10)</f>
        <v>20563.801976011939</v>
      </c>
      <c r="R11" s="72">
        <f t="shared" ref="R11" si="11">SUM(R6:R10)</f>
        <v>23749.107945455071</v>
      </c>
      <c r="S11" s="72">
        <f t="shared" ref="S11" si="12">SUM(S6:S10)</f>
        <v>27646.180846814568</v>
      </c>
      <c r="T11" s="72">
        <f t="shared" ref="T11" si="13">SUM(T6:T10)</f>
        <v>32320.946465402139</v>
      </c>
      <c r="U11" s="72">
        <f t="shared" ref="U11" si="14">SUM(U6:U10)</f>
        <v>37846.07828498671</v>
      </c>
    </row>
    <row r="12" spans="1:85" s="18" customFormat="1" ht="15" customHeight="1" thickBot="1">
      <c r="A12" s="16" t="s">
        <v>44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</row>
    <row r="13" spans="1:85" ht="13.5" customHeight="1" thickBot="1">
      <c r="A13" s="12" t="s">
        <v>41</v>
      </c>
      <c r="B13" s="13">
        <v>22844</v>
      </c>
      <c r="C13" s="13">
        <v>28481.999999999996</v>
      </c>
      <c r="D13" s="13">
        <v>29584</v>
      </c>
      <c r="E13" s="13">
        <v>29818</v>
      </c>
      <c r="F13" s="13">
        <v>30345</v>
      </c>
      <c r="G13" s="13">
        <v>32627</v>
      </c>
      <c r="H13" s="13">
        <v>35295</v>
      </c>
      <c r="I13" s="13">
        <v>38514</v>
      </c>
      <c r="J13" s="13">
        <v>40736</v>
      </c>
      <c r="K13" s="13">
        <f>J13-'Cash Flow'!K20/30</f>
        <v>40886</v>
      </c>
      <c r="L13" s="13">
        <f>K13-'Cash Flow'!L20/30</f>
        <v>41036</v>
      </c>
      <c r="M13" s="13">
        <f>L13-'Cash Flow'!M20/30</f>
        <v>41186</v>
      </c>
      <c r="N13" s="13">
        <f>M13-'Cash Flow'!N20/30</f>
        <v>41336</v>
      </c>
      <c r="O13" s="13">
        <f>N13-'Cash Flow'!O20/30</f>
        <v>41486</v>
      </c>
      <c r="P13" s="13">
        <f>O13-'Cash Flow'!P20/30</f>
        <v>41636</v>
      </c>
      <c r="Q13" s="13">
        <f>P13-'Cash Flow'!Q20/30</f>
        <v>41786</v>
      </c>
      <c r="R13" s="13">
        <f>Q13-'Cash Flow'!R20/30</f>
        <v>41936</v>
      </c>
      <c r="S13" s="13">
        <f>R13-'Cash Flow'!S20/30</f>
        <v>42086</v>
      </c>
      <c r="T13" s="13">
        <f>S13-'Cash Flow'!T20/30</f>
        <v>42236</v>
      </c>
      <c r="U13" s="13">
        <f>T13-'Cash Flow'!U20/30</f>
        <v>42386</v>
      </c>
    </row>
    <row r="14" spans="1:85" ht="13.5" customHeight="1" thickBot="1">
      <c r="A14" s="12" t="s">
        <v>42</v>
      </c>
      <c r="B14" s="13">
        <v>1409</v>
      </c>
      <c r="C14" s="13">
        <v>1314</v>
      </c>
      <c r="D14" s="13">
        <v>1540</v>
      </c>
      <c r="E14" s="13">
        <v>1463</v>
      </c>
      <c r="F14" s="13">
        <v>1387</v>
      </c>
      <c r="G14" s="13">
        <v>1252</v>
      </c>
      <c r="H14" s="13">
        <v>1336</v>
      </c>
      <c r="I14" s="13">
        <v>1225</v>
      </c>
      <c r="J14" s="13">
        <v>1173</v>
      </c>
      <c r="K14" s="13">
        <f>J14</f>
        <v>1173</v>
      </c>
      <c r="L14" s="13">
        <f>K14</f>
        <v>1173</v>
      </c>
      <c r="M14" s="13">
        <f>L14</f>
        <v>1173</v>
      </c>
      <c r="N14" s="13">
        <f>M14</f>
        <v>1173</v>
      </c>
      <c r="O14" s="13">
        <f>N14</f>
        <v>1173</v>
      </c>
      <c r="P14" s="13">
        <f t="shared" ref="P14:U14" si="15">O14</f>
        <v>1173</v>
      </c>
      <c r="Q14" s="13">
        <f t="shared" si="15"/>
        <v>1173</v>
      </c>
      <c r="R14" s="13">
        <f t="shared" si="15"/>
        <v>1173</v>
      </c>
      <c r="S14" s="13">
        <f t="shared" si="15"/>
        <v>1173</v>
      </c>
      <c r="T14" s="13">
        <f t="shared" si="15"/>
        <v>1173</v>
      </c>
      <c r="U14" s="13">
        <f t="shared" si="15"/>
        <v>1173</v>
      </c>
    </row>
    <row r="15" spans="1:85" ht="13.5" customHeight="1">
      <c r="A15" s="6" t="s">
        <v>2</v>
      </c>
      <c r="B15" s="21">
        <v>2270</v>
      </c>
      <c r="C15" s="21">
        <v>2172.0000000000036</v>
      </c>
      <c r="D15" s="21">
        <v>1885</v>
      </c>
      <c r="E15" s="21">
        <v>1560</v>
      </c>
      <c r="F15" s="21">
        <v>1460</v>
      </c>
      <c r="G15" s="21">
        <v>1601</v>
      </c>
      <c r="H15" s="21">
        <v>1810</v>
      </c>
      <c r="I15" s="21">
        <v>1813</v>
      </c>
      <c r="J15" s="21">
        <v>2468</v>
      </c>
      <c r="K15" s="21">
        <f>J15</f>
        <v>2468</v>
      </c>
      <c r="L15" s="21">
        <f t="shared" ref="L15:O15" si="16">K15</f>
        <v>2468</v>
      </c>
      <c r="M15" s="21">
        <f t="shared" si="16"/>
        <v>2468</v>
      </c>
      <c r="N15" s="21">
        <f t="shared" si="16"/>
        <v>2468</v>
      </c>
      <c r="O15" s="21">
        <f t="shared" si="16"/>
        <v>2468</v>
      </c>
      <c r="P15" s="21">
        <f t="shared" ref="P15:U15" si="17">O15</f>
        <v>2468</v>
      </c>
      <c r="Q15" s="21">
        <f t="shared" si="17"/>
        <v>2468</v>
      </c>
      <c r="R15" s="21">
        <f t="shared" si="17"/>
        <v>2468</v>
      </c>
      <c r="S15" s="21">
        <f t="shared" si="17"/>
        <v>2468</v>
      </c>
      <c r="T15" s="21">
        <f t="shared" si="17"/>
        <v>2468</v>
      </c>
      <c r="U15" s="21">
        <f t="shared" si="17"/>
        <v>2468</v>
      </c>
    </row>
    <row r="16" spans="1:85" ht="13.5" customHeight="1">
      <c r="A16" s="71" t="s">
        <v>39</v>
      </c>
      <c r="B16" s="72">
        <f>B15+B14+B13</f>
        <v>26523</v>
      </c>
      <c r="C16" s="72">
        <f t="shared" ref="C16:O16" si="18">C15+C14+C13</f>
        <v>31968</v>
      </c>
      <c r="D16" s="72">
        <f t="shared" si="18"/>
        <v>33009</v>
      </c>
      <c r="E16" s="72">
        <f t="shared" si="18"/>
        <v>32841</v>
      </c>
      <c r="F16" s="72">
        <f t="shared" si="18"/>
        <v>33192</v>
      </c>
      <c r="G16" s="72">
        <f t="shared" si="18"/>
        <v>35480</v>
      </c>
      <c r="H16" s="72">
        <f t="shared" si="18"/>
        <v>38441</v>
      </c>
      <c r="I16" s="72">
        <f t="shared" si="18"/>
        <v>41552</v>
      </c>
      <c r="J16" s="72">
        <f t="shared" si="18"/>
        <v>44377</v>
      </c>
      <c r="K16" s="72">
        <f t="shared" si="18"/>
        <v>44527</v>
      </c>
      <c r="L16" s="72">
        <f t="shared" si="18"/>
        <v>44677</v>
      </c>
      <c r="M16" s="72">
        <f t="shared" si="18"/>
        <v>44827</v>
      </c>
      <c r="N16" s="72">
        <f t="shared" si="18"/>
        <v>44977</v>
      </c>
      <c r="O16" s="72">
        <f t="shared" si="18"/>
        <v>45127</v>
      </c>
      <c r="P16" s="72">
        <f t="shared" ref="P16:U16" si="19">P15+P14+P13</f>
        <v>45277</v>
      </c>
      <c r="Q16" s="72">
        <f t="shared" si="19"/>
        <v>45427</v>
      </c>
      <c r="R16" s="72">
        <f t="shared" si="19"/>
        <v>45577</v>
      </c>
      <c r="S16" s="72">
        <f t="shared" si="19"/>
        <v>45727</v>
      </c>
      <c r="T16" s="72">
        <f t="shared" si="19"/>
        <v>45877</v>
      </c>
      <c r="U16" s="72">
        <f t="shared" si="19"/>
        <v>46027</v>
      </c>
    </row>
    <row r="17" spans="1:85" s="18" customFormat="1" ht="15" customHeight="1">
      <c r="A17" s="25" t="s">
        <v>40</v>
      </c>
      <c r="B17" s="20">
        <f>B16+B11</f>
        <v>37302</v>
      </c>
      <c r="C17" s="20">
        <f t="shared" ref="C17:J17" si="20">C16+C11</f>
        <v>42688</v>
      </c>
      <c r="D17" s="20">
        <f t="shared" si="20"/>
        <v>40809</v>
      </c>
      <c r="E17" s="20">
        <f t="shared" si="20"/>
        <v>42144</v>
      </c>
      <c r="F17" s="20">
        <f t="shared" si="20"/>
        <v>48022</v>
      </c>
      <c r="G17" s="20">
        <f t="shared" si="20"/>
        <v>51093</v>
      </c>
      <c r="H17" s="20">
        <f t="shared" si="20"/>
        <v>52506</v>
      </c>
      <c r="I17" s="20">
        <f t="shared" si="20"/>
        <v>54848</v>
      </c>
      <c r="J17" s="20">
        <f t="shared" si="20"/>
        <v>58167</v>
      </c>
      <c r="K17" s="20">
        <f>SUM(K6:K15)</f>
        <v>71350.888827717965</v>
      </c>
      <c r="L17" s="20">
        <f>SUM(L6:L15)</f>
        <v>71486.749698400381</v>
      </c>
      <c r="M17" s="20">
        <f>SUM(M6:M15)</f>
        <v>72476.173329602927</v>
      </c>
      <c r="N17" s="20">
        <f>SUM(N6:N15)</f>
        <v>74392.517388288921</v>
      </c>
      <c r="O17" s="20">
        <f>SUM(O6:O15)</f>
        <v>77316.691557007565</v>
      </c>
      <c r="P17" s="20">
        <f t="shared" ref="P17:U17" si="21">SUM(P6:P15)</f>
        <v>81337.92364498094</v>
      </c>
      <c r="Q17" s="20">
        <f t="shared" si="21"/>
        <v>86554.60395202387</v>
      </c>
      <c r="R17" s="20">
        <f t="shared" si="21"/>
        <v>93075.215890910142</v>
      </c>
      <c r="S17" s="20">
        <f t="shared" si="21"/>
        <v>101019.36169362914</v>
      </c>
      <c r="T17" s="20">
        <f t="shared" si="21"/>
        <v>110518.89293080429</v>
      </c>
      <c r="U17" s="20">
        <f t="shared" si="21"/>
        <v>121719.15656997342</v>
      </c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</row>
    <row r="18" spans="1:85" s="18" customFormat="1" ht="15" customHeight="1" thickBot="1">
      <c r="A18" s="11"/>
      <c r="B18" s="13"/>
      <c r="C18" s="13"/>
      <c r="D18" s="13"/>
      <c r="E18" s="13"/>
      <c r="F18" s="13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</row>
    <row r="19" spans="1:85" s="18" customFormat="1" ht="15" customHeight="1" thickBot="1">
      <c r="A19" s="16" t="s">
        <v>46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</row>
    <row r="20" spans="1:85" s="18" customFormat="1" ht="15" customHeight="1" thickBot="1">
      <c r="A20" s="16" t="s">
        <v>47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</row>
    <row r="21" spans="1:85" ht="13.5" customHeight="1" thickBot="1">
      <c r="A21" s="12" t="s">
        <v>48</v>
      </c>
      <c r="B21" s="13">
        <v>2321</v>
      </c>
      <c r="C21" s="13">
        <v>2625</v>
      </c>
      <c r="D21" s="13">
        <v>2576</v>
      </c>
      <c r="E21" s="13">
        <v>2708</v>
      </c>
      <c r="F21" s="13">
        <v>3495</v>
      </c>
      <c r="G21" s="13">
        <v>4027</v>
      </c>
      <c r="H21" s="13">
        <v>3729</v>
      </c>
      <c r="I21" s="13">
        <v>4057</v>
      </c>
      <c r="J21" s="13">
        <v>4565</v>
      </c>
      <c r="K21" s="13">
        <f>J21</f>
        <v>4565</v>
      </c>
      <c r="L21" s="13">
        <f t="shared" ref="L21:O21" si="22">K21</f>
        <v>4565</v>
      </c>
      <c r="M21" s="13">
        <f t="shared" si="22"/>
        <v>4565</v>
      </c>
      <c r="N21" s="13">
        <f t="shared" si="22"/>
        <v>4565</v>
      </c>
      <c r="O21" s="13">
        <f t="shared" si="22"/>
        <v>4565</v>
      </c>
      <c r="P21" s="13">
        <f t="shared" ref="P21:U21" si="23">O21</f>
        <v>4565</v>
      </c>
      <c r="Q21" s="13">
        <f t="shared" si="23"/>
        <v>4565</v>
      </c>
      <c r="R21" s="13">
        <f t="shared" si="23"/>
        <v>4565</v>
      </c>
      <c r="S21" s="13">
        <f t="shared" si="23"/>
        <v>4565</v>
      </c>
      <c r="T21" s="13">
        <f t="shared" si="23"/>
        <v>4565</v>
      </c>
      <c r="U21" s="13">
        <f t="shared" si="23"/>
        <v>4565</v>
      </c>
    </row>
    <row r="22" spans="1:85" ht="13.5" customHeight="1">
      <c r="A22" s="6" t="s">
        <v>16</v>
      </c>
      <c r="B22" s="21">
        <f>B23-B21</f>
        <v>1303</v>
      </c>
      <c r="C22" s="21">
        <f t="shared" ref="C22:J22" si="24">C23-C21</f>
        <v>677</v>
      </c>
      <c r="D22" s="21">
        <f t="shared" si="24"/>
        <v>628</v>
      </c>
      <c r="E22" s="21">
        <f t="shared" si="24"/>
        <v>675</v>
      </c>
      <c r="F22" s="21">
        <f t="shared" si="24"/>
        <v>2025</v>
      </c>
      <c r="G22" s="21">
        <f t="shared" si="24"/>
        <v>1281</v>
      </c>
      <c r="H22" s="21">
        <f t="shared" si="24"/>
        <v>1320</v>
      </c>
      <c r="I22" s="21">
        <f t="shared" si="24"/>
        <v>1398</v>
      </c>
      <c r="J22" s="21">
        <f t="shared" si="24"/>
        <v>988</v>
      </c>
      <c r="K22" s="21">
        <f t="shared" ref="K22:O23" si="25">J22</f>
        <v>988</v>
      </c>
      <c r="L22" s="21">
        <f t="shared" si="25"/>
        <v>988</v>
      </c>
      <c r="M22" s="21">
        <f t="shared" si="25"/>
        <v>988</v>
      </c>
      <c r="N22" s="21">
        <f t="shared" si="25"/>
        <v>988</v>
      </c>
      <c r="O22" s="21">
        <f t="shared" si="25"/>
        <v>988</v>
      </c>
      <c r="P22" s="21">
        <f t="shared" ref="P22:U22" si="26">O22</f>
        <v>988</v>
      </c>
      <c r="Q22" s="21">
        <f t="shared" si="26"/>
        <v>988</v>
      </c>
      <c r="R22" s="21">
        <f t="shared" si="26"/>
        <v>988</v>
      </c>
      <c r="S22" s="21">
        <f t="shared" si="26"/>
        <v>988</v>
      </c>
      <c r="T22" s="21">
        <f t="shared" si="26"/>
        <v>988</v>
      </c>
      <c r="U22" s="21">
        <f t="shared" si="26"/>
        <v>988</v>
      </c>
    </row>
    <row r="23" spans="1:85" ht="13.5" customHeight="1">
      <c r="A23" s="71" t="s">
        <v>49</v>
      </c>
      <c r="B23" s="72">
        <v>3624</v>
      </c>
      <c r="C23" s="72">
        <v>3302</v>
      </c>
      <c r="D23" s="72">
        <v>3204</v>
      </c>
      <c r="E23" s="72">
        <v>3383</v>
      </c>
      <c r="F23" s="72">
        <v>5520</v>
      </c>
      <c r="G23" s="72">
        <v>5308</v>
      </c>
      <c r="H23" s="72">
        <v>5049</v>
      </c>
      <c r="I23" s="72">
        <v>5455</v>
      </c>
      <c r="J23" s="72">
        <v>5553</v>
      </c>
      <c r="K23" s="72">
        <f t="shared" si="25"/>
        <v>5553</v>
      </c>
      <c r="L23" s="72">
        <f t="shared" si="25"/>
        <v>5553</v>
      </c>
      <c r="M23" s="72">
        <f t="shared" si="25"/>
        <v>5553</v>
      </c>
      <c r="N23" s="72">
        <f t="shared" si="25"/>
        <v>5553</v>
      </c>
      <c r="O23" s="72">
        <f t="shared" si="25"/>
        <v>5553</v>
      </c>
      <c r="P23" s="72">
        <f t="shared" ref="P23:U23" si="27">O23</f>
        <v>5553</v>
      </c>
      <c r="Q23" s="72">
        <f t="shared" si="27"/>
        <v>5553</v>
      </c>
      <c r="R23" s="72">
        <f t="shared" si="27"/>
        <v>5553</v>
      </c>
      <c r="S23" s="72">
        <f t="shared" si="27"/>
        <v>5553</v>
      </c>
      <c r="T23" s="72">
        <f t="shared" si="27"/>
        <v>5553</v>
      </c>
      <c r="U23" s="72">
        <f t="shared" si="27"/>
        <v>5553</v>
      </c>
    </row>
    <row r="24" spans="1:85" s="18" customFormat="1" ht="15" customHeight="1" thickBot="1">
      <c r="A24" s="16" t="s">
        <v>50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</row>
    <row r="25" spans="1:85" ht="13.5" customHeight="1" thickBot="1">
      <c r="A25" s="12" t="s">
        <v>52</v>
      </c>
      <c r="B25" s="13">
        <v>13117</v>
      </c>
      <c r="C25" s="13">
        <v>11141</v>
      </c>
      <c r="D25" s="13">
        <v>9826</v>
      </c>
      <c r="E25" s="13">
        <v>9711</v>
      </c>
      <c r="F25" s="13">
        <v>9450</v>
      </c>
      <c r="G25" s="13">
        <v>10620</v>
      </c>
      <c r="H25" s="13">
        <v>9422</v>
      </c>
      <c r="I25" s="13">
        <v>8948</v>
      </c>
      <c r="J25" s="13">
        <v>9379</v>
      </c>
      <c r="K25" s="13">
        <f>J25</f>
        <v>9379</v>
      </c>
      <c r="L25" s="13">
        <f t="shared" ref="L25:O25" si="28">K25</f>
        <v>9379</v>
      </c>
      <c r="M25" s="13">
        <f t="shared" si="28"/>
        <v>9379</v>
      </c>
      <c r="N25" s="13">
        <f t="shared" si="28"/>
        <v>9379</v>
      </c>
      <c r="O25" s="13">
        <f t="shared" si="28"/>
        <v>9379</v>
      </c>
      <c r="P25" s="13">
        <f t="shared" ref="P25:U25" si="29">O25</f>
        <v>9379</v>
      </c>
      <c r="Q25" s="13">
        <f t="shared" si="29"/>
        <v>9379</v>
      </c>
      <c r="R25" s="13">
        <f t="shared" si="29"/>
        <v>9379</v>
      </c>
      <c r="S25" s="13">
        <f t="shared" si="29"/>
        <v>9379</v>
      </c>
      <c r="T25" s="13">
        <f t="shared" si="29"/>
        <v>9379</v>
      </c>
      <c r="U25" s="13">
        <f t="shared" si="29"/>
        <v>9379</v>
      </c>
    </row>
    <row r="26" spans="1:85" ht="13.5" customHeight="1" thickBot="1">
      <c r="A26" s="12" t="s">
        <v>53</v>
      </c>
      <c r="B26" s="13">
        <v>2012</v>
      </c>
      <c r="C26" s="13">
        <v>2230</v>
      </c>
      <c r="D26" s="13">
        <v>2491</v>
      </c>
      <c r="E26" s="13">
        <v>2269</v>
      </c>
      <c r="F26" s="13">
        <v>1683</v>
      </c>
      <c r="G26" s="13">
        <v>1562</v>
      </c>
      <c r="H26" s="13">
        <v>1648</v>
      </c>
      <c r="I26" s="13">
        <v>1887</v>
      </c>
      <c r="J26" s="13">
        <v>2306</v>
      </c>
      <c r="K26" s="13">
        <f t="shared" ref="K26:K27" si="30">J26</f>
        <v>2306</v>
      </c>
      <c r="L26" s="13">
        <f t="shared" ref="L26:O26" si="31">K26</f>
        <v>2306</v>
      </c>
      <c r="M26" s="13">
        <f t="shared" si="31"/>
        <v>2306</v>
      </c>
      <c r="N26" s="13">
        <f t="shared" si="31"/>
        <v>2306</v>
      </c>
      <c r="O26" s="13">
        <f t="shared" si="31"/>
        <v>2306</v>
      </c>
      <c r="P26" s="13">
        <f t="shared" ref="P26:U26" si="32">O26</f>
        <v>2306</v>
      </c>
      <c r="Q26" s="13">
        <f t="shared" si="32"/>
        <v>2306</v>
      </c>
      <c r="R26" s="13">
        <f t="shared" si="32"/>
        <v>2306</v>
      </c>
      <c r="S26" s="13">
        <f t="shared" si="32"/>
        <v>2306</v>
      </c>
      <c r="T26" s="13">
        <f t="shared" si="32"/>
        <v>2306</v>
      </c>
      <c r="U26" s="13">
        <f t="shared" si="32"/>
        <v>2306</v>
      </c>
    </row>
    <row r="27" spans="1:85" ht="13.5" customHeight="1" thickBot="1">
      <c r="A27" s="12" t="s">
        <v>54</v>
      </c>
      <c r="B27" s="13">
        <v>3622</v>
      </c>
      <c r="C27" s="13">
        <v>4869</v>
      </c>
      <c r="D27" s="13">
        <v>4210</v>
      </c>
      <c r="E27" s="13">
        <v>4408</v>
      </c>
      <c r="F27" s="13">
        <v>4234</v>
      </c>
      <c r="G27" s="13">
        <v>4269</v>
      </c>
      <c r="H27" s="13">
        <v>4453</v>
      </c>
      <c r="I27" s="13">
        <v>4376</v>
      </c>
      <c r="J27" s="13">
        <v>4622</v>
      </c>
      <c r="K27" s="13">
        <f t="shared" si="30"/>
        <v>4622</v>
      </c>
      <c r="L27" s="13">
        <f t="shared" ref="L27:O27" si="33">K27</f>
        <v>4622</v>
      </c>
      <c r="M27" s="13">
        <f t="shared" si="33"/>
        <v>4622</v>
      </c>
      <c r="N27" s="13">
        <f t="shared" si="33"/>
        <v>4622</v>
      </c>
      <c r="O27" s="13">
        <f t="shared" si="33"/>
        <v>4622</v>
      </c>
      <c r="P27" s="13">
        <f t="shared" ref="P27:U27" si="34">O27</f>
        <v>4622</v>
      </c>
      <c r="Q27" s="13">
        <f t="shared" si="34"/>
        <v>4622</v>
      </c>
      <c r="R27" s="13">
        <f t="shared" si="34"/>
        <v>4622</v>
      </c>
      <c r="S27" s="13">
        <f t="shared" si="34"/>
        <v>4622</v>
      </c>
      <c r="T27" s="13">
        <f t="shared" si="34"/>
        <v>4622</v>
      </c>
      <c r="U27" s="13">
        <f t="shared" si="34"/>
        <v>4622</v>
      </c>
    </row>
    <row r="28" spans="1:85" ht="13.5" customHeight="1" thickBot="1">
      <c r="A28" s="12" t="s">
        <v>55</v>
      </c>
      <c r="B28" s="13">
        <v>3319</v>
      </c>
      <c r="C28" s="13">
        <v>7890</v>
      </c>
      <c r="D28" s="13">
        <v>8150</v>
      </c>
      <c r="E28" s="13">
        <v>8494</v>
      </c>
      <c r="F28" s="13">
        <v>9039</v>
      </c>
      <c r="G28" s="13">
        <v>9316</v>
      </c>
      <c r="H28" s="13">
        <v>10617</v>
      </c>
      <c r="I28" s="13">
        <v>11197</v>
      </c>
      <c r="J28" s="13">
        <v>11867</v>
      </c>
      <c r="K28" s="13">
        <f t="shared" ref="K28:O28" si="35">J28</f>
        <v>11867</v>
      </c>
      <c r="L28" s="13">
        <f t="shared" si="35"/>
        <v>11867</v>
      </c>
      <c r="M28" s="13">
        <f t="shared" si="35"/>
        <v>11867</v>
      </c>
      <c r="N28" s="13">
        <f t="shared" si="35"/>
        <v>11867</v>
      </c>
      <c r="O28" s="13">
        <f t="shared" si="35"/>
        <v>11867</v>
      </c>
      <c r="P28" s="13">
        <f t="shared" ref="P28:U28" si="36">O28</f>
        <v>11867</v>
      </c>
      <c r="Q28" s="13">
        <f t="shared" si="36"/>
        <v>11867</v>
      </c>
      <c r="R28" s="13">
        <f t="shared" si="36"/>
        <v>11867</v>
      </c>
      <c r="S28" s="13">
        <f t="shared" si="36"/>
        <v>11867</v>
      </c>
      <c r="T28" s="13">
        <f t="shared" si="36"/>
        <v>11867</v>
      </c>
      <c r="U28" s="13">
        <f t="shared" si="36"/>
        <v>11867</v>
      </c>
    </row>
    <row r="29" spans="1:85" ht="13.5" customHeight="1">
      <c r="A29" s="6" t="s">
        <v>56</v>
      </c>
      <c r="B29" s="21">
        <v>3631</v>
      </c>
      <c r="C29" s="21">
        <v>3653</v>
      </c>
      <c r="D29" s="21">
        <v>3630</v>
      </c>
      <c r="E29" s="21">
        <v>3705</v>
      </c>
      <c r="F29" s="21">
        <v>4116</v>
      </c>
      <c r="G29" s="21">
        <v>4463</v>
      </c>
      <c r="H29" s="21">
        <v>4624</v>
      </c>
      <c r="I29" s="21">
        <v>5404</v>
      </c>
      <c r="J29" s="21">
        <v>5541</v>
      </c>
      <c r="K29" s="106">
        <f t="shared" ref="K29:O29" si="37">J29</f>
        <v>5541</v>
      </c>
      <c r="L29" s="106">
        <f t="shared" si="37"/>
        <v>5541</v>
      </c>
      <c r="M29" s="106">
        <f t="shared" si="37"/>
        <v>5541</v>
      </c>
      <c r="N29" s="106">
        <f t="shared" si="37"/>
        <v>5541</v>
      </c>
      <c r="O29" s="106">
        <f t="shared" si="37"/>
        <v>5541</v>
      </c>
      <c r="P29" s="106">
        <f t="shared" ref="P29:U29" si="38">O29</f>
        <v>5541</v>
      </c>
      <c r="Q29" s="106">
        <f t="shared" si="38"/>
        <v>5541</v>
      </c>
      <c r="R29" s="106">
        <f t="shared" si="38"/>
        <v>5541</v>
      </c>
      <c r="S29" s="106">
        <f t="shared" si="38"/>
        <v>5541</v>
      </c>
      <c r="T29" s="106">
        <f t="shared" si="38"/>
        <v>5541</v>
      </c>
      <c r="U29" s="106">
        <f t="shared" si="38"/>
        <v>5541</v>
      </c>
    </row>
    <row r="30" spans="1:85" ht="13.5" customHeight="1">
      <c r="A30" s="71" t="s">
        <v>51</v>
      </c>
      <c r="B30" s="72">
        <v>25701</v>
      </c>
      <c r="C30" s="72">
        <v>29783</v>
      </c>
      <c r="D30" s="72">
        <v>28307</v>
      </c>
      <c r="E30" s="72">
        <v>28587</v>
      </c>
      <c r="F30" s="72">
        <v>28522</v>
      </c>
      <c r="G30" s="72">
        <v>30230</v>
      </c>
      <c r="H30" s="72">
        <v>30764</v>
      </c>
      <c r="I30" s="72">
        <v>31812</v>
      </c>
      <c r="J30" s="72">
        <v>33715</v>
      </c>
      <c r="K30" s="105">
        <f>J30</f>
        <v>33715</v>
      </c>
      <c r="L30" s="72">
        <f>K30</f>
        <v>33715</v>
      </c>
      <c r="M30" s="72">
        <f>L30</f>
        <v>33715</v>
      </c>
      <c r="N30" s="72">
        <f>M30</f>
        <v>33715</v>
      </c>
      <c r="O30" s="72">
        <f>N30</f>
        <v>33715</v>
      </c>
      <c r="P30" s="72">
        <f t="shared" ref="P30:U30" si="39">O30</f>
        <v>33715</v>
      </c>
      <c r="Q30" s="72">
        <f t="shared" si="39"/>
        <v>33715</v>
      </c>
      <c r="R30" s="72">
        <f t="shared" si="39"/>
        <v>33715</v>
      </c>
      <c r="S30" s="72">
        <f t="shared" si="39"/>
        <v>33715</v>
      </c>
      <c r="T30" s="72">
        <f t="shared" si="39"/>
        <v>33715</v>
      </c>
      <c r="U30" s="72">
        <f t="shared" si="39"/>
        <v>33715</v>
      </c>
    </row>
    <row r="31" spans="1:85" s="1" customFormat="1" ht="15" customHeight="1">
      <c r="A31" s="25" t="s">
        <v>3</v>
      </c>
      <c r="B31" s="20">
        <f>B30+B23</f>
        <v>29325</v>
      </c>
      <c r="C31" s="20">
        <f t="shared" ref="C31:O31" si="40">C30+C23</f>
        <v>33085</v>
      </c>
      <c r="D31" s="20">
        <f t="shared" si="40"/>
        <v>31511</v>
      </c>
      <c r="E31" s="20">
        <f t="shared" si="40"/>
        <v>31970</v>
      </c>
      <c r="F31" s="20">
        <f t="shared" si="40"/>
        <v>34042</v>
      </c>
      <c r="G31" s="20">
        <f t="shared" si="40"/>
        <v>35538</v>
      </c>
      <c r="H31" s="20">
        <f t="shared" si="40"/>
        <v>35813</v>
      </c>
      <c r="I31" s="20">
        <f t="shared" si="40"/>
        <v>37267</v>
      </c>
      <c r="J31" s="20">
        <f t="shared" si="40"/>
        <v>39268</v>
      </c>
      <c r="K31" s="20">
        <f t="shared" si="40"/>
        <v>39268</v>
      </c>
      <c r="L31" s="20">
        <f t="shared" si="40"/>
        <v>39268</v>
      </c>
      <c r="M31" s="20">
        <f t="shared" si="40"/>
        <v>39268</v>
      </c>
      <c r="N31" s="20">
        <f t="shared" si="40"/>
        <v>39268</v>
      </c>
      <c r="O31" s="20">
        <f t="shared" si="40"/>
        <v>39268</v>
      </c>
      <c r="P31" s="20">
        <f t="shared" ref="P31:U31" si="41">P30+P23</f>
        <v>39268</v>
      </c>
      <c r="Q31" s="20">
        <f t="shared" si="41"/>
        <v>39268</v>
      </c>
      <c r="R31" s="20">
        <f t="shared" si="41"/>
        <v>39268</v>
      </c>
      <c r="S31" s="20">
        <f t="shared" si="41"/>
        <v>39268</v>
      </c>
      <c r="T31" s="20">
        <f t="shared" si="41"/>
        <v>39268</v>
      </c>
      <c r="U31" s="20">
        <f t="shared" si="41"/>
        <v>39268</v>
      </c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</row>
    <row r="32" spans="1:85" s="18" customFormat="1" ht="15" customHeight="1" thickBot="1">
      <c r="A32" s="16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</row>
    <row r="33" spans="1:85" s="18" customFormat="1" ht="15" customHeight="1" thickBot="1">
      <c r="A33" s="16" t="s">
        <v>58</v>
      </c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</row>
    <row r="34" spans="1:85" s="1" customFormat="1" ht="15" customHeight="1">
      <c r="A34" s="25" t="s">
        <v>1</v>
      </c>
      <c r="B34" s="20">
        <f>B17-B31</f>
        <v>7977</v>
      </c>
      <c r="C34" s="20">
        <f t="shared" ref="C34:I34" si="42">C17-C31</f>
        <v>9603</v>
      </c>
      <c r="D34" s="20">
        <f t="shared" si="42"/>
        <v>9298</v>
      </c>
      <c r="E34" s="20">
        <f t="shared" si="42"/>
        <v>10174</v>
      </c>
      <c r="F34" s="20">
        <f t="shared" si="42"/>
        <v>13980</v>
      </c>
      <c r="G34" s="20">
        <f t="shared" si="42"/>
        <v>15555</v>
      </c>
      <c r="H34" s="20">
        <f t="shared" si="42"/>
        <v>16693</v>
      </c>
      <c r="I34" s="20">
        <f t="shared" si="42"/>
        <v>17581</v>
      </c>
      <c r="J34" s="20">
        <f>J17-J31</f>
        <v>18899</v>
      </c>
      <c r="K34" s="20">
        <f t="shared" ref="K34:O34" si="43">K17-K31</f>
        <v>32082.888827717965</v>
      </c>
      <c r="L34" s="20">
        <f t="shared" si="43"/>
        <v>32218.749698400381</v>
      </c>
      <c r="M34" s="20">
        <f t="shared" si="43"/>
        <v>33208.173329602927</v>
      </c>
      <c r="N34" s="20">
        <f t="shared" si="43"/>
        <v>35124.517388288921</v>
      </c>
      <c r="O34" s="20">
        <f t="shared" si="43"/>
        <v>38048.691557007565</v>
      </c>
      <c r="P34" s="20">
        <f t="shared" ref="P34:U34" si="44">P17-P31</f>
        <v>42069.92364498094</v>
      </c>
      <c r="Q34" s="20">
        <f t="shared" si="44"/>
        <v>47286.60395202387</v>
      </c>
      <c r="R34" s="20">
        <f t="shared" si="44"/>
        <v>53807.215890910142</v>
      </c>
      <c r="S34" s="20">
        <f t="shared" si="44"/>
        <v>61751.361693629136</v>
      </c>
      <c r="T34" s="20">
        <f t="shared" si="44"/>
        <v>71250.892930804286</v>
      </c>
      <c r="U34" s="20">
        <f t="shared" si="44"/>
        <v>82451.15656997342</v>
      </c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</row>
    <row r="35" spans="1:85" ht="13.5" customHeight="1" thickBot="1">
      <c r="A35" s="12" t="s">
        <v>57</v>
      </c>
      <c r="B35" s="13">
        <f>B34+B31</f>
        <v>37302</v>
      </c>
      <c r="C35" s="13">
        <f t="shared" ref="C35:O35" si="45">C34+C31</f>
        <v>42688</v>
      </c>
      <c r="D35" s="13">
        <f t="shared" si="45"/>
        <v>40809</v>
      </c>
      <c r="E35" s="13">
        <f t="shared" si="45"/>
        <v>42144</v>
      </c>
      <c r="F35" s="13">
        <f t="shared" si="45"/>
        <v>48022</v>
      </c>
      <c r="G35" s="13">
        <f t="shared" si="45"/>
        <v>51093</v>
      </c>
      <c r="H35" s="13">
        <f t="shared" si="45"/>
        <v>52506</v>
      </c>
      <c r="I35" s="13">
        <f t="shared" si="45"/>
        <v>54848</v>
      </c>
      <c r="J35" s="13">
        <f t="shared" si="45"/>
        <v>58167</v>
      </c>
      <c r="K35" s="13">
        <f t="shared" si="45"/>
        <v>71350.888827717965</v>
      </c>
      <c r="L35" s="13">
        <f t="shared" si="45"/>
        <v>71486.749698400381</v>
      </c>
      <c r="M35" s="13">
        <f t="shared" si="45"/>
        <v>72476.173329602927</v>
      </c>
      <c r="N35" s="13">
        <f t="shared" si="45"/>
        <v>74392.517388288921</v>
      </c>
      <c r="O35" s="13">
        <f t="shared" si="45"/>
        <v>77316.691557007565</v>
      </c>
      <c r="P35" s="13">
        <f t="shared" ref="P35:U35" si="46">P34+P31</f>
        <v>81337.92364498094</v>
      </c>
      <c r="Q35" s="13">
        <f t="shared" si="46"/>
        <v>86554.60395202387</v>
      </c>
      <c r="R35" s="13">
        <f t="shared" si="46"/>
        <v>93075.215890910142</v>
      </c>
      <c r="S35" s="13">
        <f t="shared" si="46"/>
        <v>101019.36169362914</v>
      </c>
      <c r="T35" s="13">
        <f t="shared" si="46"/>
        <v>110518.89293080429</v>
      </c>
      <c r="U35" s="13">
        <f t="shared" si="46"/>
        <v>121719.15656997342</v>
      </c>
    </row>
    <row r="36" spans="1:85" s="18" customFormat="1" ht="15" customHeight="1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</row>
    <row r="37" spans="1:85" s="18" customFormat="1" ht="15" customHeight="1"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</row>
    <row r="38" spans="1:85" s="1" customFormat="1" ht="15" customHeight="1"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</row>
    <row r="39" spans="1:85" s="1" customFormat="1" ht="17.25" customHeight="1">
      <c r="A39" s="7" t="s">
        <v>7</v>
      </c>
      <c r="B39" s="23">
        <f t="shared" ref="B39:O39" si="47">B3</f>
        <v>2017</v>
      </c>
      <c r="C39" s="23">
        <f t="shared" si="47"/>
        <v>2018</v>
      </c>
      <c r="D39" s="23">
        <f t="shared" si="47"/>
        <v>2019</v>
      </c>
      <c r="E39" s="23">
        <f t="shared" si="47"/>
        <v>2020</v>
      </c>
      <c r="F39" s="23">
        <f t="shared" si="47"/>
        <v>2021</v>
      </c>
      <c r="G39" s="23">
        <f t="shared" si="47"/>
        <v>2022</v>
      </c>
      <c r="H39" s="23">
        <f t="shared" si="47"/>
        <v>2023</v>
      </c>
      <c r="I39" s="23">
        <f t="shared" si="47"/>
        <v>2024</v>
      </c>
      <c r="J39" s="23">
        <f t="shared" si="47"/>
        <v>2025</v>
      </c>
      <c r="K39" s="23">
        <f t="shared" si="47"/>
        <v>2026</v>
      </c>
      <c r="L39" s="23">
        <f t="shared" si="47"/>
        <v>2027</v>
      </c>
      <c r="M39" s="23">
        <f t="shared" si="47"/>
        <v>2028</v>
      </c>
      <c r="N39" s="23">
        <f t="shared" si="47"/>
        <v>2029</v>
      </c>
      <c r="O39" s="23">
        <f t="shared" si="47"/>
        <v>2030</v>
      </c>
      <c r="P39" s="23">
        <f t="shared" ref="P39:U39" si="48">P3</f>
        <v>2031</v>
      </c>
      <c r="Q39" s="23">
        <f t="shared" si="48"/>
        <v>2032</v>
      </c>
      <c r="R39" s="23">
        <f t="shared" si="48"/>
        <v>2033</v>
      </c>
      <c r="S39" s="23">
        <f t="shared" si="48"/>
        <v>2034</v>
      </c>
      <c r="T39" s="23">
        <f t="shared" si="48"/>
        <v>2035</v>
      </c>
      <c r="U39" s="23">
        <f t="shared" si="48"/>
        <v>2036</v>
      </c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</row>
    <row r="40" spans="1:85" s="1" customFormat="1" ht="15" customHeight="1" thickBot="1">
      <c r="A40" s="1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</row>
    <row r="41" spans="1:85" ht="13.5" customHeight="1" thickBot="1">
      <c r="A41" s="12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</row>
    <row r="42" spans="1:85" ht="27.75" customHeight="1" thickBot="1">
      <c r="A42" s="42" t="s">
        <v>108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</row>
    <row r="43" spans="1:85" ht="13.8" thickBot="1">
      <c r="A43" s="1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</row>
    <row r="44" spans="1:85" ht="13.5" customHeight="1" thickBot="1">
      <c r="A44" s="12" t="s">
        <v>52</v>
      </c>
      <c r="B44" s="13">
        <f>B25</f>
        <v>13117</v>
      </c>
      <c r="C44" s="13">
        <f t="shared" ref="C44:O44" si="49">C25</f>
        <v>11141</v>
      </c>
      <c r="D44" s="13">
        <f t="shared" si="49"/>
        <v>9826</v>
      </c>
      <c r="E44" s="13">
        <f t="shared" si="49"/>
        <v>9711</v>
      </c>
      <c r="F44" s="13">
        <f t="shared" si="49"/>
        <v>9450</v>
      </c>
      <c r="G44" s="13">
        <f t="shared" si="49"/>
        <v>10620</v>
      </c>
      <c r="H44" s="13">
        <f t="shared" si="49"/>
        <v>9422</v>
      </c>
      <c r="I44" s="13">
        <f t="shared" si="49"/>
        <v>8948</v>
      </c>
      <c r="J44" s="13">
        <f t="shared" si="49"/>
        <v>9379</v>
      </c>
      <c r="K44" s="13">
        <f t="shared" si="49"/>
        <v>9379</v>
      </c>
      <c r="L44" s="13">
        <f t="shared" si="49"/>
        <v>9379</v>
      </c>
      <c r="M44" s="13">
        <f t="shared" si="49"/>
        <v>9379</v>
      </c>
      <c r="N44" s="13">
        <f t="shared" si="49"/>
        <v>9379</v>
      </c>
      <c r="O44" s="13">
        <f t="shared" si="49"/>
        <v>9379</v>
      </c>
      <c r="P44" s="13">
        <f t="shared" ref="P44:U44" si="50">P25</f>
        <v>9379</v>
      </c>
      <c r="Q44" s="13">
        <f t="shared" si="50"/>
        <v>9379</v>
      </c>
      <c r="R44" s="13">
        <f t="shared" si="50"/>
        <v>9379</v>
      </c>
      <c r="S44" s="13">
        <f t="shared" si="50"/>
        <v>9379</v>
      </c>
      <c r="T44" s="13">
        <f t="shared" si="50"/>
        <v>9379</v>
      </c>
      <c r="U44" s="13">
        <f t="shared" si="50"/>
        <v>9379</v>
      </c>
    </row>
    <row r="45" spans="1:85" ht="13.5" customHeight="1" thickBot="1">
      <c r="A45" s="12" t="s">
        <v>10</v>
      </c>
      <c r="B45" s="13">
        <f>'Income Statement'!B17</f>
        <v>-801</v>
      </c>
      <c r="C45" s="13">
        <f>'Income Statement'!C17</f>
        <v>-945</v>
      </c>
      <c r="D45" s="13">
        <f>'Income Statement'!D17</f>
        <v>-620</v>
      </c>
      <c r="E45" s="13">
        <f>'Income Statement'!E17</f>
        <v>-598</v>
      </c>
      <c r="F45" s="13">
        <f>'Income Statement'!F17</f>
        <v>-602</v>
      </c>
      <c r="G45" s="13">
        <f>'Income Statement'!G17</f>
        <v>-560</v>
      </c>
      <c r="H45" s="13">
        <f>'Income Statement'!H17</f>
        <v>-515</v>
      </c>
      <c r="I45" s="13">
        <f>'Income Statement'!I17</f>
        <v>-319</v>
      </c>
      <c r="J45" s="13">
        <f>'Income Statement'!J17</f>
        <v>-369</v>
      </c>
      <c r="K45" s="13">
        <f>-K46*K44</f>
        <v>-375.16</v>
      </c>
      <c r="L45" s="13">
        <f t="shared" ref="L45:O45" si="51">-L46*L44</f>
        <v>-375.16</v>
      </c>
      <c r="M45" s="13">
        <f t="shared" si="51"/>
        <v>-375.16</v>
      </c>
      <c r="N45" s="13">
        <f t="shared" si="51"/>
        <v>-375.16</v>
      </c>
      <c r="O45" s="13">
        <f t="shared" si="51"/>
        <v>-375.16</v>
      </c>
      <c r="P45" s="13">
        <f t="shared" ref="P45" si="52">-P46*P44</f>
        <v>-375.16</v>
      </c>
      <c r="Q45" s="13">
        <f t="shared" ref="Q45" si="53">-Q46*Q44</f>
        <v>-375.16</v>
      </c>
      <c r="R45" s="13">
        <f t="shared" ref="R45" si="54">-R46*R44</f>
        <v>-375.16</v>
      </c>
      <c r="S45" s="13">
        <f t="shared" ref="S45" si="55">-S46*S44</f>
        <v>-375.16</v>
      </c>
      <c r="T45" s="13">
        <f t="shared" ref="T45" si="56">-T46*T44</f>
        <v>-375.16</v>
      </c>
      <c r="U45" s="13">
        <f t="shared" ref="U45" si="57">-U46*U44</f>
        <v>-375.16</v>
      </c>
    </row>
    <row r="46" spans="1:85" s="77" customFormat="1" ht="13.5" customHeight="1" thickBot="1">
      <c r="A46" s="24" t="s">
        <v>109</v>
      </c>
      <c r="B46" s="30">
        <f>-B45/B44</f>
        <v>6.1065792483037278E-2</v>
      </c>
      <c r="C46" s="30">
        <f t="shared" ref="C46:J46" si="58">-C45/C44</f>
        <v>8.4821829279238842E-2</v>
      </c>
      <c r="D46" s="30">
        <f t="shared" si="58"/>
        <v>6.3097903521270093E-2</v>
      </c>
      <c r="E46" s="30">
        <f t="shared" si="58"/>
        <v>6.1579651941097727E-2</v>
      </c>
      <c r="F46" s="30">
        <f t="shared" si="58"/>
        <v>6.3703703703703707E-2</v>
      </c>
      <c r="G46" s="30">
        <f t="shared" si="58"/>
        <v>5.2730696798493411E-2</v>
      </c>
      <c r="H46" s="30">
        <f t="shared" si="58"/>
        <v>5.465930800254723E-2</v>
      </c>
      <c r="I46" s="30">
        <f t="shared" si="58"/>
        <v>3.5650424675905228E-2</v>
      </c>
      <c r="J46" s="30">
        <f t="shared" si="58"/>
        <v>3.9343213562213458E-2</v>
      </c>
      <c r="K46" s="31">
        <v>0.04</v>
      </c>
      <c r="L46" s="31">
        <v>0.04</v>
      </c>
      <c r="M46" s="31">
        <v>0.04</v>
      </c>
      <c r="N46" s="31">
        <v>0.04</v>
      </c>
      <c r="O46" s="31">
        <v>0.04</v>
      </c>
      <c r="P46" s="31">
        <v>0.04</v>
      </c>
      <c r="Q46" s="31">
        <v>0.04</v>
      </c>
      <c r="R46" s="31">
        <v>0.04</v>
      </c>
      <c r="S46" s="31">
        <v>0.04</v>
      </c>
      <c r="T46" s="31">
        <v>0.04</v>
      </c>
      <c r="U46" s="31">
        <v>0.04</v>
      </c>
    </row>
    <row r="47" spans="1:85" ht="13.5" customHeight="1" thickBot="1">
      <c r="A47" s="12" t="s">
        <v>110</v>
      </c>
      <c r="B47" s="13">
        <f>B6</f>
        <v>4447.0000000000018</v>
      </c>
      <c r="C47" s="13">
        <f t="shared" ref="C47:J47" si="59">C6</f>
        <v>4217.0000000000018</v>
      </c>
      <c r="D47" s="13">
        <f t="shared" si="59"/>
        <v>2020</v>
      </c>
      <c r="E47" s="13">
        <f t="shared" si="59"/>
        <v>3657</v>
      </c>
      <c r="F47" s="13">
        <f t="shared" si="59"/>
        <v>8068</v>
      </c>
      <c r="G47" s="13">
        <f t="shared" si="59"/>
        <v>8146</v>
      </c>
      <c r="H47" s="13">
        <f t="shared" si="59"/>
        <v>4758</v>
      </c>
      <c r="I47" s="13">
        <f t="shared" si="59"/>
        <v>3923</v>
      </c>
      <c r="J47" s="13">
        <f t="shared" si="59"/>
        <v>3824</v>
      </c>
      <c r="K47" s="13">
        <f>K44-K45</f>
        <v>9754.16</v>
      </c>
      <c r="L47" s="13">
        <f>L44-L45</f>
        <v>9754.16</v>
      </c>
      <c r="M47" s="13">
        <f>M44-M45</f>
        <v>9754.16</v>
      </c>
      <c r="N47" s="13">
        <f>N44-N45</f>
        <v>9754.16</v>
      </c>
      <c r="O47" s="13">
        <f>O44-O45</f>
        <v>9754.16</v>
      </c>
      <c r="P47" s="13">
        <f t="shared" ref="P47:U47" si="60">P44-P45</f>
        <v>9754.16</v>
      </c>
      <c r="Q47" s="13">
        <f t="shared" si="60"/>
        <v>9754.16</v>
      </c>
      <c r="R47" s="13">
        <f t="shared" si="60"/>
        <v>9754.16</v>
      </c>
      <c r="S47" s="13">
        <f t="shared" si="60"/>
        <v>9754.16</v>
      </c>
      <c r="T47" s="13">
        <f t="shared" si="60"/>
        <v>9754.16</v>
      </c>
      <c r="U47" s="13">
        <f t="shared" si="60"/>
        <v>9754.16</v>
      </c>
    </row>
    <row r="48" spans="1:85" ht="13.5" customHeight="1" thickBot="1">
      <c r="A48" s="12" t="s">
        <v>111</v>
      </c>
      <c r="B48" s="13">
        <f>'Income Statement'!B18</f>
        <v>217</v>
      </c>
      <c r="C48" s="13">
        <f>'Income Statement'!C18</f>
        <v>276</v>
      </c>
      <c r="D48" s="13">
        <f>'Income Statement'!D18</f>
        <v>255</v>
      </c>
      <c r="E48" s="13">
        <f>'Income Statement'!E18</f>
        <v>431</v>
      </c>
      <c r="F48" s="13">
        <f>'Income Statement'!F18</f>
        <v>-25</v>
      </c>
      <c r="G48" s="13">
        <f>'Income Statement'!G18</f>
        <v>240</v>
      </c>
      <c r="H48" s="13">
        <f>'Income Statement'!H18</f>
        <v>296</v>
      </c>
      <c r="I48" s="13">
        <f>'Income Statement'!I18</f>
        <v>362</v>
      </c>
      <c r="J48" s="13">
        <f>'Income Statement'!J18</f>
        <v>223</v>
      </c>
      <c r="K48" s="13">
        <f>K49*K6</f>
        <v>137.83777655435935</v>
      </c>
      <c r="L48" s="13">
        <f t="shared" ref="L48:O48" si="61">L49*L6</f>
        <v>137.55499396800752</v>
      </c>
      <c r="M48" s="13">
        <f t="shared" si="61"/>
        <v>154.34346659205843</v>
      </c>
      <c r="N48" s="13">
        <f t="shared" si="61"/>
        <v>189.67034776577825</v>
      </c>
      <c r="O48" s="13">
        <f t="shared" si="61"/>
        <v>245.15383114015134</v>
      </c>
      <c r="P48" s="13">
        <f t="shared" ref="P48" si="62">P49*P6</f>
        <v>322.57847289961876</v>
      </c>
      <c r="Q48" s="13">
        <f t="shared" ref="Q48" si="63">Q49*Q6</f>
        <v>423.91207904047758</v>
      </c>
      <c r="R48" s="13">
        <f t="shared" ref="R48" si="64">R49*R6</f>
        <v>551.32431781820276</v>
      </c>
      <c r="S48" s="13">
        <f t="shared" ref="S48" si="65">S49*S6</f>
        <v>707.20723387258272</v>
      </c>
      <c r="T48" s="13">
        <f t="shared" ref="T48" si="66">T49*T6</f>
        <v>894.19785861608557</v>
      </c>
      <c r="U48" s="13">
        <f t="shared" ref="U48" si="67">U49*U6</f>
        <v>1115.2031313994685</v>
      </c>
    </row>
    <row r="49" spans="1:21" s="77" customFormat="1" ht="13.5" customHeight="1" thickBot="1">
      <c r="A49" s="24" t="s">
        <v>109</v>
      </c>
      <c r="B49" s="30">
        <f>B48/B47</f>
        <v>4.8796941758488852E-2</v>
      </c>
      <c r="C49" s="30">
        <f t="shared" ref="C49:J49" si="68">C48/C47</f>
        <v>6.5449371591178529E-2</v>
      </c>
      <c r="D49" s="30">
        <f t="shared" si="68"/>
        <v>0.12623762376237624</v>
      </c>
      <c r="E49" s="30">
        <f t="shared" si="68"/>
        <v>0.11785616625649439</v>
      </c>
      <c r="F49" s="30">
        <f t="shared" si="68"/>
        <v>-3.0986613782845811E-3</v>
      </c>
      <c r="G49" s="30">
        <f t="shared" si="68"/>
        <v>2.9462312791554136E-2</v>
      </c>
      <c r="H49" s="30">
        <f t="shared" si="68"/>
        <v>6.2211013030685165E-2</v>
      </c>
      <c r="I49" s="30">
        <f t="shared" si="68"/>
        <v>9.2276319143512614E-2</v>
      </c>
      <c r="J49" s="30">
        <f t="shared" si="68"/>
        <v>5.8315899581589961E-2</v>
      </c>
      <c r="K49" s="31">
        <v>0.04</v>
      </c>
      <c r="L49" s="31">
        <v>0.04</v>
      </c>
      <c r="M49" s="31">
        <v>0.04</v>
      </c>
      <c r="N49" s="31">
        <v>0.04</v>
      </c>
      <c r="O49" s="31">
        <v>0.04</v>
      </c>
      <c r="P49" s="31">
        <v>0.04</v>
      </c>
      <c r="Q49" s="31">
        <v>0.04</v>
      </c>
      <c r="R49" s="31">
        <v>0.04</v>
      </c>
      <c r="S49" s="31">
        <v>0.04</v>
      </c>
      <c r="T49" s="31">
        <v>0.04</v>
      </c>
      <c r="U49" s="31">
        <v>0.04</v>
      </c>
    </row>
    <row r="50" spans="1:21" ht="13.5" customHeight="1" thickBot="1">
      <c r="A50" s="12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Q50" s="75"/>
      <c r="R50" s="75"/>
    </row>
    <row r="51" spans="1:21" ht="13.5" customHeight="1" thickBot="1">
      <c r="A51" s="12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Q51" s="75"/>
      <c r="R51" s="75"/>
    </row>
    <row r="52" spans="1:21" ht="13.5" customHeight="1" thickBot="1">
      <c r="A52" s="12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Q52" s="75"/>
      <c r="R52" s="75"/>
    </row>
    <row r="53" spans="1:21" ht="13.5" customHeight="1" thickBot="1">
      <c r="A53" s="12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Q53" s="75"/>
      <c r="R53" s="75"/>
    </row>
    <row r="54" spans="1:21" ht="13.5" customHeight="1" thickBot="1">
      <c r="A54" s="12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Q54" s="75"/>
      <c r="R54" s="75"/>
    </row>
    <row r="55" spans="1:21" ht="13.5" customHeight="1" thickBot="1">
      <c r="A55" s="12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Q55" s="75"/>
      <c r="R55" s="75"/>
    </row>
    <row r="56" spans="1:21" ht="13.5" customHeight="1" thickBot="1">
      <c r="A56" s="12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Q56" s="75"/>
      <c r="R56" s="75"/>
    </row>
    <row r="57" spans="1:21" ht="13.5" customHeight="1" thickBot="1">
      <c r="A57" s="12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Q57" s="75"/>
      <c r="R57" s="75"/>
    </row>
    <row r="58" spans="1:21" ht="13.5" customHeight="1" thickBot="1">
      <c r="A58" s="12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Q58" s="75"/>
      <c r="R58" s="75"/>
    </row>
    <row r="59" spans="1:21" ht="13.5" customHeight="1" thickBot="1">
      <c r="A59" s="12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Q59" s="75"/>
      <c r="R59" s="75"/>
    </row>
    <row r="60" spans="1:21" ht="13.5" customHeight="1" thickBot="1">
      <c r="A60" s="12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Q60" s="75"/>
      <c r="R60" s="75"/>
    </row>
    <row r="61" spans="1:21" ht="13.5" customHeight="1" thickBot="1">
      <c r="A61" s="12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Q61" s="75"/>
      <c r="R61" s="75"/>
    </row>
    <row r="62" spans="1:21" ht="13.5" customHeight="1" thickBot="1">
      <c r="A62" s="1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Q62" s="75"/>
      <c r="R62" s="75"/>
    </row>
    <row r="63" spans="1:21" ht="13.5" customHeight="1" thickBot="1">
      <c r="A63" s="12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Q63" s="75"/>
      <c r="R63" s="75"/>
    </row>
    <row r="64" spans="1:21" ht="13.5" customHeight="1" thickBot="1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Q64" s="75"/>
      <c r="R64" s="75"/>
    </row>
    <row r="65" spans="1:18" ht="13.5" customHeight="1" thickBot="1">
      <c r="A65" s="12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Q65" s="75"/>
      <c r="R65" s="75"/>
    </row>
    <row r="66" spans="1:18" ht="13.5" customHeight="1" thickBot="1">
      <c r="A66" s="12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Q66" s="75"/>
      <c r="R66" s="75"/>
    </row>
    <row r="67" spans="1:18" ht="13.5" customHeight="1" thickBot="1">
      <c r="A67" s="12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Q67" s="75"/>
      <c r="R67" s="75"/>
    </row>
    <row r="68" spans="1:18" ht="13.5" customHeight="1" thickBot="1">
      <c r="A68" s="12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Q68" s="75"/>
      <c r="R68" s="75"/>
    </row>
    <row r="69" spans="1:18" ht="13.5" customHeight="1" thickBot="1">
      <c r="A69" s="12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Q69" s="75"/>
      <c r="R69" s="75"/>
    </row>
    <row r="70" spans="1:18" ht="13.5" customHeight="1" thickBot="1">
      <c r="A70" s="12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Q70" s="75"/>
      <c r="R70" s="75"/>
    </row>
    <row r="71" spans="1:18" ht="13.5" customHeight="1" thickBot="1">
      <c r="A71" s="12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Q71" s="75"/>
      <c r="R71" s="75"/>
    </row>
    <row r="72" spans="1:18" ht="13.5" customHeight="1" thickBot="1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Q72" s="75"/>
      <c r="R72" s="75"/>
    </row>
    <row r="73" spans="1:18" ht="13.5" customHeight="1" thickBot="1">
      <c r="A73" s="12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Q73" s="75"/>
      <c r="R73" s="75"/>
    </row>
    <row r="74" spans="1:18" ht="13.5" customHeight="1" thickBot="1">
      <c r="A74" s="12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Q74" s="75"/>
      <c r="R74" s="75"/>
    </row>
    <row r="75" spans="1:18" ht="13.5" customHeight="1" thickBot="1">
      <c r="A75" s="12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Q75" s="75"/>
      <c r="R75" s="75"/>
    </row>
    <row r="76" spans="1:18" ht="13.5" customHeight="1" thickBot="1">
      <c r="A76" s="12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Q76" s="75"/>
      <c r="R76" s="75"/>
    </row>
    <row r="77" spans="1:18" ht="13.5" customHeight="1" thickBot="1">
      <c r="A77" s="12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Q77" s="75"/>
      <c r="R77" s="75"/>
    </row>
    <row r="78" spans="1:18" ht="13.5" customHeight="1" thickBot="1">
      <c r="A78" s="12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Q78" s="75"/>
      <c r="R78" s="75"/>
    </row>
    <row r="79" spans="1:18" ht="13.5" customHeight="1" thickBot="1">
      <c r="A79" s="12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Q79" s="75"/>
      <c r="R79" s="75"/>
    </row>
    <row r="80" spans="1:18" ht="13.5" customHeight="1" thickBot="1">
      <c r="A80" s="12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Q80" s="75"/>
      <c r="R80" s="75"/>
    </row>
    <row r="81" spans="1:18" ht="13.5" customHeight="1" thickBot="1">
      <c r="A81" s="12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Q81" s="75"/>
      <c r="R81" s="75"/>
    </row>
    <row r="82" spans="1:18" ht="13.5" customHeight="1" thickBot="1">
      <c r="A82" s="12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Q82" s="75"/>
      <c r="R82" s="75"/>
    </row>
    <row r="83" spans="1:18" ht="13.5" customHeight="1" thickBot="1">
      <c r="A83" s="12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Q83" s="75"/>
      <c r="R83" s="75"/>
    </row>
    <row r="84" spans="1:18" ht="13.5" customHeight="1" thickBot="1">
      <c r="A84" s="12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Q84" s="75"/>
      <c r="R84" s="75"/>
    </row>
    <row r="85" spans="1:18" ht="13.5" customHeight="1" thickBot="1">
      <c r="A85" s="12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Q85" s="75"/>
      <c r="R85" s="75"/>
    </row>
    <row r="86" spans="1:18" ht="13.5" customHeight="1" thickBot="1">
      <c r="A86" s="12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Q86" s="75"/>
      <c r="R86" s="75"/>
    </row>
    <row r="87" spans="1:18" ht="13.5" customHeight="1" thickBot="1">
      <c r="A87" s="12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Q87" s="75"/>
      <c r="R87" s="75"/>
    </row>
    <row r="88" spans="1:18" ht="13.5" customHeight="1" thickBot="1">
      <c r="A88" s="12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Q88" s="75"/>
      <c r="R88" s="75"/>
    </row>
    <row r="89" spans="1:18" ht="13.5" customHeight="1" thickBot="1">
      <c r="A89" s="12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Q89" s="75"/>
      <c r="R89" s="75"/>
    </row>
    <row r="90" spans="1:18" ht="13.5" customHeight="1" thickBot="1">
      <c r="A90" s="12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Q90" s="75"/>
      <c r="R90" s="75"/>
    </row>
    <row r="91" spans="1:18" ht="13.5" customHeight="1" thickBot="1">
      <c r="A91" s="12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Q91" s="75"/>
      <c r="R91" s="75"/>
    </row>
    <row r="92" spans="1:18" ht="13.5" customHeight="1" thickBot="1">
      <c r="A92" s="12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Q92" s="75"/>
      <c r="R92" s="75"/>
    </row>
    <row r="93" spans="1:18" ht="13.5" customHeight="1" thickBot="1">
      <c r="A93" s="12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Q93" s="75"/>
      <c r="R93" s="75"/>
    </row>
    <row r="94" spans="1:18" ht="13.5" customHeight="1" thickBot="1">
      <c r="A94" s="12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Q94" s="75"/>
      <c r="R94" s="75"/>
    </row>
    <row r="95" spans="1:18" ht="13.5" customHeight="1" thickBot="1">
      <c r="A95" s="12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Q95" s="75"/>
      <c r="R95" s="75"/>
    </row>
    <row r="96" spans="1:18" ht="13.5" customHeight="1" thickBot="1">
      <c r="A96" s="12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Q96" s="75"/>
      <c r="R96" s="75"/>
    </row>
    <row r="97" spans="1:18" ht="13.5" customHeight="1" thickBot="1">
      <c r="A97" s="12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Q97" s="75"/>
      <c r="R97" s="75"/>
    </row>
    <row r="98" spans="1:18" ht="13.5" customHeight="1" thickBot="1">
      <c r="A98" s="12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Q98" s="75"/>
      <c r="R98" s="75"/>
    </row>
    <row r="99" spans="1:18" ht="13.5" customHeight="1" thickBot="1">
      <c r="A99" s="12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Q99" s="75"/>
      <c r="R99" s="75"/>
    </row>
    <row r="100" spans="1:18" ht="13.5" customHeight="1" thickBot="1">
      <c r="A100" s="12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Q100" s="75"/>
      <c r="R100" s="75"/>
    </row>
    <row r="101" spans="1:18" ht="13.5" customHeight="1" thickBot="1">
      <c r="A101" s="12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Q101" s="75"/>
      <c r="R101" s="75"/>
    </row>
    <row r="102" spans="1:18" ht="13.5" customHeight="1" thickBot="1">
      <c r="A102" s="12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Q102" s="75"/>
      <c r="R102" s="75"/>
    </row>
    <row r="103" spans="1:18" ht="13.5" customHeight="1" thickBot="1">
      <c r="A103" s="12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Q103" s="75"/>
      <c r="R103" s="75"/>
    </row>
    <row r="104" spans="1:18" ht="13.5" customHeight="1" thickBot="1">
      <c r="A104" s="12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Q104" s="75"/>
      <c r="R104" s="75"/>
    </row>
    <row r="105" spans="1:18" ht="13.5" customHeight="1" thickBot="1">
      <c r="A105" s="12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Q105" s="75"/>
      <c r="R105" s="75"/>
    </row>
    <row r="106" spans="1:18" ht="13.5" customHeight="1" thickBot="1">
      <c r="A106" s="12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Q106" s="75"/>
      <c r="R106" s="75"/>
    </row>
    <row r="107" spans="1:18" ht="13.5" customHeight="1" thickBot="1">
      <c r="A107" s="12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Q107" s="75"/>
      <c r="R107" s="75"/>
    </row>
    <row r="108" spans="1:18" ht="13.5" customHeight="1" thickBot="1">
      <c r="A108" s="12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Q108" s="75"/>
      <c r="R108" s="75"/>
    </row>
    <row r="109" spans="1:18" ht="13.5" customHeight="1" thickBot="1">
      <c r="A109" s="12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Q109" s="75"/>
      <c r="R109" s="75"/>
    </row>
    <row r="110" spans="1:18" ht="13.5" customHeight="1" thickBot="1">
      <c r="A110" s="12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Q110" s="75"/>
      <c r="R110" s="75"/>
    </row>
    <row r="111" spans="1:18" ht="13.5" customHeight="1" thickBot="1">
      <c r="A111" s="12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Q111" s="75"/>
      <c r="R111" s="75"/>
    </row>
    <row r="112" spans="1:18" ht="13.5" customHeight="1" thickBot="1">
      <c r="A112" s="12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Q112" s="75"/>
      <c r="R112" s="75"/>
    </row>
    <row r="113" spans="1:18" ht="13.5" customHeight="1" thickBot="1">
      <c r="A113" s="12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Q113" s="75"/>
      <c r="R113" s="75"/>
    </row>
    <row r="114" spans="1:18" ht="13.5" customHeight="1" thickBot="1">
      <c r="A114" s="12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Q114" s="75"/>
      <c r="R114" s="75"/>
    </row>
    <row r="115" spans="1:18" ht="13.5" customHeight="1" thickBot="1">
      <c r="A115" s="12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Q115" s="75"/>
      <c r="R115" s="75"/>
    </row>
    <row r="116" spans="1:18" ht="13.5" customHeight="1" thickBot="1">
      <c r="A116" s="12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Q116" s="75"/>
      <c r="R116" s="75"/>
    </row>
    <row r="117" spans="1:18" ht="13.5" customHeight="1" thickBot="1">
      <c r="A117" s="12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Q117" s="75"/>
      <c r="R117" s="75"/>
    </row>
    <row r="118" spans="1:18" ht="13.5" customHeight="1" thickBot="1">
      <c r="A118" s="12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Q118" s="75"/>
      <c r="R118" s="75"/>
    </row>
    <row r="119" spans="1:18" ht="13.5" customHeight="1" thickBot="1">
      <c r="A119" s="12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Q119" s="75"/>
      <c r="R119" s="75"/>
    </row>
    <row r="120" spans="1:18" ht="13.5" customHeight="1" thickBot="1">
      <c r="A120" s="12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Q120" s="75"/>
      <c r="R120" s="75"/>
    </row>
    <row r="121" spans="1:18" ht="13.5" customHeight="1" thickBot="1">
      <c r="A121" s="12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Q121" s="75"/>
      <c r="R121" s="75"/>
    </row>
    <row r="122" spans="1:18" ht="13.5" customHeight="1" thickBot="1">
      <c r="A122" s="12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Q122" s="75"/>
      <c r="R122" s="75"/>
    </row>
    <row r="123" spans="1:18" ht="13.5" customHeight="1" thickBot="1">
      <c r="A123" s="12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Q123" s="75"/>
      <c r="R123" s="75"/>
    </row>
    <row r="124" spans="1:18" ht="13.5" customHeight="1" thickBot="1">
      <c r="A124" s="12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Q124" s="75"/>
      <c r="R124" s="75"/>
    </row>
    <row r="125" spans="1:18" ht="13.5" customHeight="1" thickBot="1">
      <c r="A125" s="12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Q125" s="75"/>
      <c r="R125" s="75"/>
    </row>
    <row r="126" spans="1:18" ht="13.5" customHeight="1" thickBot="1">
      <c r="A126" s="12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Q126" s="75"/>
      <c r="R126" s="75"/>
    </row>
    <row r="127" spans="1:18" ht="13.5" customHeight="1" thickBot="1">
      <c r="A127" s="12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Q127" s="75"/>
      <c r="R127" s="75"/>
    </row>
    <row r="128" spans="1:18" ht="13.5" customHeight="1" thickBot="1">
      <c r="A128" s="12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Q128" s="75"/>
      <c r="R128" s="75"/>
    </row>
    <row r="129" spans="1:18" ht="13.5" customHeight="1" thickBot="1">
      <c r="A129" s="12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Q129" s="75"/>
      <c r="R129" s="75"/>
    </row>
    <row r="130" spans="1:18" ht="13.5" customHeight="1" thickBot="1">
      <c r="A130" s="12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Q130" s="75"/>
      <c r="R130" s="75"/>
    </row>
    <row r="131" spans="1:18" ht="13.5" customHeight="1" thickBot="1">
      <c r="A131" s="12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Q131" s="75"/>
      <c r="R131" s="75"/>
    </row>
    <row r="132" spans="1:18" ht="13.5" customHeight="1" thickBot="1">
      <c r="A132" s="12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Q132" s="75"/>
      <c r="R132" s="75"/>
    </row>
    <row r="133" spans="1:18" ht="13.5" customHeight="1" thickBot="1">
      <c r="A133" s="12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Q133" s="75"/>
      <c r="R133" s="75"/>
    </row>
    <row r="134" spans="1:18" ht="13.5" customHeight="1" thickBot="1">
      <c r="A134" s="12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Q134" s="75"/>
      <c r="R134" s="75"/>
    </row>
    <row r="135" spans="1:18" ht="13.5" customHeight="1" thickBot="1">
      <c r="A135" s="12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Q135" s="75"/>
      <c r="R135" s="75"/>
    </row>
    <row r="136" spans="1:18" ht="13.5" customHeight="1" thickBot="1">
      <c r="A136" s="12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Q136" s="75"/>
      <c r="R136" s="75"/>
    </row>
    <row r="137" spans="1:18" ht="13.5" customHeight="1" thickBot="1">
      <c r="A137" s="12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Q137" s="75"/>
      <c r="R137" s="75"/>
    </row>
    <row r="138" spans="1:18" ht="13.5" customHeight="1" thickBot="1">
      <c r="A138" s="12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Q138" s="75"/>
      <c r="R138" s="75"/>
    </row>
    <row r="139" spans="1:18" ht="13.5" customHeight="1" thickBot="1">
      <c r="A139" s="12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Q139" s="75"/>
      <c r="R139" s="75"/>
    </row>
    <row r="140" spans="1:18" ht="13.5" customHeight="1" thickBot="1">
      <c r="A140" s="12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Q140" s="75"/>
      <c r="R140" s="75"/>
    </row>
    <row r="141" spans="1:18" ht="13.5" customHeight="1" thickBot="1">
      <c r="A141" s="12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Q141" s="75"/>
      <c r="R141" s="75"/>
    </row>
    <row r="142" spans="1:18" ht="13.5" customHeight="1" thickBot="1">
      <c r="A142" s="12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Q142" s="75"/>
      <c r="R142" s="75"/>
    </row>
    <row r="143" spans="1:18" ht="13.5" customHeight="1" thickBot="1">
      <c r="A143" s="12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Q143" s="75"/>
      <c r="R143" s="75"/>
    </row>
    <row r="144" spans="1:18" ht="13.5" customHeight="1" thickBot="1">
      <c r="A144" s="12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Q144" s="75"/>
      <c r="R144" s="75"/>
    </row>
    <row r="145" spans="1:18" ht="13.5" customHeight="1" thickBot="1">
      <c r="A145" s="12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Q145" s="75"/>
      <c r="R145" s="75"/>
    </row>
    <row r="146" spans="1:18" ht="13.5" customHeight="1" thickBot="1">
      <c r="A146" s="12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Q146" s="75"/>
      <c r="R146" s="75"/>
    </row>
    <row r="147" spans="1:18" ht="13.5" customHeight="1" thickBot="1">
      <c r="A147" s="12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Q147" s="75"/>
      <c r="R147" s="75"/>
    </row>
    <row r="148" spans="1:18" ht="13.5" customHeight="1" thickBot="1">
      <c r="A148" s="12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Q148" s="75"/>
      <c r="R148" s="75"/>
    </row>
    <row r="149" spans="1:18" ht="13.5" customHeight="1" thickBot="1">
      <c r="A149" s="12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Q149" s="75"/>
      <c r="R149" s="75"/>
    </row>
    <row r="150" spans="1:18" ht="13.5" customHeight="1" thickBot="1">
      <c r="A150" s="12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Q150" s="75"/>
      <c r="R150" s="75"/>
    </row>
    <row r="151" spans="1:18" ht="13.5" customHeight="1" thickBot="1">
      <c r="A151" s="12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Q151" s="75"/>
      <c r="R151" s="75"/>
    </row>
    <row r="152" spans="1:18" ht="13.5" customHeight="1" thickBot="1">
      <c r="A152" s="12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Q152" s="75"/>
      <c r="R152" s="75"/>
    </row>
    <row r="153" spans="1:18" ht="13.5" customHeight="1" thickBot="1">
      <c r="A153" s="12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Q153" s="75"/>
      <c r="R153" s="75"/>
    </row>
    <row r="154" spans="1:18" ht="13.5" customHeight="1" thickBot="1">
      <c r="A154" s="12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Q154" s="75"/>
      <c r="R154" s="75"/>
    </row>
    <row r="155" spans="1:18" ht="13.5" customHeight="1" thickBot="1">
      <c r="A155" s="12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Q155" s="75"/>
      <c r="R155" s="75"/>
    </row>
    <row r="156" spans="1:18" ht="13.5" customHeight="1" thickBot="1">
      <c r="A156" s="12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Q156" s="75"/>
      <c r="R156" s="75"/>
    </row>
    <row r="157" spans="1:18" ht="13.5" customHeight="1" thickBot="1">
      <c r="A157" s="12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Q157" s="75"/>
      <c r="R157" s="75"/>
    </row>
    <row r="158" spans="1:18" ht="13.5" customHeight="1" thickBot="1">
      <c r="A158" s="12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Q158" s="75"/>
      <c r="R158" s="75"/>
    </row>
    <row r="159" spans="1:18" ht="13.5" customHeight="1" thickBot="1">
      <c r="A159" s="12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Q159" s="75"/>
      <c r="R159" s="75"/>
    </row>
    <row r="160" spans="1:18" ht="13.5" customHeight="1" thickBot="1">
      <c r="A160" s="12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Q160" s="75"/>
      <c r="R160" s="75"/>
    </row>
    <row r="161" spans="1:18" ht="13.5" customHeight="1" thickBot="1">
      <c r="A161" s="12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Q161" s="75"/>
      <c r="R161" s="75"/>
    </row>
    <row r="162" spans="1:18" ht="13.5" customHeight="1" thickBot="1">
      <c r="A162" s="12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Q162" s="75"/>
      <c r="R162" s="75"/>
    </row>
    <row r="163" spans="1:18" ht="13.5" customHeight="1" thickBot="1">
      <c r="A163" s="12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Q163" s="75"/>
      <c r="R163" s="75"/>
    </row>
    <row r="164" spans="1:18" ht="13.5" customHeight="1" thickBot="1">
      <c r="A164" s="12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Q164" s="75"/>
      <c r="R164" s="75"/>
    </row>
    <row r="165" spans="1:18" ht="13.5" customHeight="1" thickBot="1">
      <c r="A165" s="12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Q165" s="75"/>
      <c r="R165" s="75"/>
    </row>
    <row r="166" spans="1:18" ht="13.5" customHeight="1" thickBot="1">
      <c r="A166" s="12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Q166" s="75"/>
      <c r="R166" s="75"/>
    </row>
    <row r="167" spans="1:18" ht="13.5" customHeight="1" thickBot="1">
      <c r="A167" s="12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Q167" s="75"/>
      <c r="R167" s="75"/>
    </row>
    <row r="168" spans="1:18" ht="13.5" customHeight="1" thickBot="1">
      <c r="A168" s="12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Q168" s="75"/>
      <c r="R168" s="75"/>
    </row>
    <row r="169" spans="1:18" ht="13.5" customHeight="1" thickBot="1">
      <c r="A169" s="12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Q169" s="75"/>
      <c r="R169" s="75"/>
    </row>
    <row r="170" spans="1:18" ht="13.5" customHeight="1" thickBot="1">
      <c r="A170" s="12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Q170" s="75"/>
      <c r="R170" s="75"/>
    </row>
    <row r="171" spans="1:18" ht="13.5" customHeight="1" thickBot="1">
      <c r="A171" s="12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Q171" s="75"/>
      <c r="R171" s="75"/>
    </row>
    <row r="172" spans="1:18" ht="13.5" customHeight="1" thickBot="1">
      <c r="A172" s="12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Q172" s="75"/>
      <c r="R172" s="75"/>
    </row>
    <row r="173" spans="1:18" ht="13.5" customHeight="1" thickBot="1">
      <c r="A173" s="12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Q173" s="75"/>
      <c r="R173" s="75"/>
    </row>
    <row r="174" spans="1:18" ht="13.5" customHeight="1" thickBot="1">
      <c r="A174" s="12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Q174" s="75"/>
      <c r="R174" s="75"/>
    </row>
    <row r="175" spans="1:18" ht="13.5" customHeight="1" thickBot="1">
      <c r="A175" s="12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Q175" s="75"/>
      <c r="R175" s="75"/>
    </row>
    <row r="176" spans="1:18" ht="13.5" customHeight="1" thickBot="1">
      <c r="A176" s="12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Q176" s="75"/>
      <c r="R176" s="75"/>
    </row>
  </sheetData>
  <pageMargins left="0.7" right="0.7" top="0.75" bottom="0.75" header="0.3" footer="0.3"/>
  <pageSetup paperSize="9" scale="5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01187-3901-4DF6-8273-2A6075DB1372}">
  <sheetPr codeName="Sheet1">
    <pageSetUpPr fitToPage="1"/>
  </sheetPr>
  <dimension ref="A1:U158"/>
  <sheetViews>
    <sheetView zoomScale="130" zoomScaleNormal="130" workbookViewId="0">
      <pane xSplit="1" ySplit="2" topLeftCell="D5" activePane="bottomRight" state="frozen"/>
      <selection pane="topRight" activeCell="B1" sqref="B1"/>
      <selection pane="bottomLeft" activeCell="A4" sqref="A4"/>
      <selection pane="bottomRight"/>
    </sheetView>
  </sheetViews>
  <sheetFormatPr defaultColWidth="9.109375" defaultRowHeight="13.2"/>
  <cols>
    <col min="1" max="1" width="47.44140625" customWidth="1"/>
    <col min="2" max="15" width="11" customWidth="1"/>
    <col min="16" max="16384" width="9.109375" style="74"/>
  </cols>
  <sheetData>
    <row r="1" spans="1:21" s="1" customFormat="1" ht="26.25" customHeight="1" thickBot="1">
      <c r="A1" s="3"/>
    </row>
    <row r="2" spans="1:21" s="1" customFormat="1" ht="22.5" customHeight="1" thickTop="1" thickBot="1">
      <c r="A2" s="4"/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21" s="1" customFormat="1" ht="22.5" customHeight="1">
      <c r="A3" s="7" t="s">
        <v>59</v>
      </c>
      <c r="B3" s="8">
        <f t="shared" ref="B3:G3" si="0">B2</f>
        <v>2017</v>
      </c>
      <c r="C3" s="8">
        <f t="shared" si="0"/>
        <v>2018</v>
      </c>
      <c r="D3" s="8">
        <f t="shared" si="0"/>
        <v>2019</v>
      </c>
      <c r="E3" s="8">
        <f t="shared" si="0"/>
        <v>2020</v>
      </c>
      <c r="F3" s="8">
        <f t="shared" si="0"/>
        <v>2021</v>
      </c>
      <c r="G3" s="8">
        <f t="shared" si="0"/>
        <v>2022</v>
      </c>
      <c r="H3" s="8">
        <f t="shared" ref="H3:O3" si="1">H2</f>
        <v>2023</v>
      </c>
      <c r="I3" s="8">
        <f t="shared" si="1"/>
        <v>2024</v>
      </c>
      <c r="J3" s="8">
        <f t="shared" si="1"/>
        <v>2025</v>
      </c>
      <c r="K3" s="8">
        <f t="shared" si="1"/>
        <v>2026</v>
      </c>
      <c r="L3" s="8">
        <f t="shared" si="1"/>
        <v>2027</v>
      </c>
      <c r="M3" s="8">
        <f t="shared" si="1"/>
        <v>2028</v>
      </c>
      <c r="N3" s="8">
        <f t="shared" si="1"/>
        <v>2029</v>
      </c>
      <c r="O3" s="8">
        <f t="shared" si="1"/>
        <v>2030</v>
      </c>
      <c r="P3" s="8">
        <f t="shared" ref="P3:U3" si="2">P2</f>
        <v>2031</v>
      </c>
      <c r="Q3" s="8">
        <f t="shared" si="2"/>
        <v>2032</v>
      </c>
      <c r="R3" s="8">
        <f t="shared" si="2"/>
        <v>2033</v>
      </c>
      <c r="S3" s="8">
        <f t="shared" si="2"/>
        <v>2034</v>
      </c>
      <c r="T3" s="8">
        <f t="shared" si="2"/>
        <v>2035</v>
      </c>
      <c r="U3" s="8">
        <f t="shared" si="2"/>
        <v>2036</v>
      </c>
    </row>
    <row r="4" spans="1:21" ht="13.5" customHeight="1" thickBot="1">
      <c r="A4" s="12"/>
      <c r="B4" s="36"/>
      <c r="C4" s="36"/>
      <c r="D4" s="36"/>
      <c r="E4" s="36"/>
      <c r="F4" s="36"/>
      <c r="G4" s="3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 s="18" customFormat="1" ht="15" customHeight="1" thickBot="1">
      <c r="A5" s="16" t="s">
        <v>76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 ht="13.5" customHeight="1" thickBot="1">
      <c r="A6" s="12" t="s">
        <v>11</v>
      </c>
      <c r="B6" s="13">
        <f>'Income Statement'!B28</f>
        <v>1817</v>
      </c>
      <c r="C6" s="13">
        <f>'Income Statement'!C28</f>
        <v>2257</v>
      </c>
      <c r="D6" s="13">
        <f>'Income Statement'!D28</f>
        <v>-143</v>
      </c>
      <c r="E6" s="13">
        <f>'Income Statement'!E28</f>
        <v>599</v>
      </c>
      <c r="F6" s="13">
        <f>'Income Statement'!F28</f>
        <v>4306</v>
      </c>
      <c r="G6" s="13">
        <f>'Income Statement'!G28</f>
        <v>3468</v>
      </c>
      <c r="H6" s="13">
        <f>'Income Statement'!H28</f>
        <v>1848</v>
      </c>
      <c r="I6" s="13">
        <f>'Income Statement'!I28</f>
        <v>1889</v>
      </c>
      <c r="J6" s="13">
        <f>'Income Statement'!J28</f>
        <v>2204</v>
      </c>
      <c r="K6" s="13">
        <f>'Income Statement'!K28</f>
        <v>2323.7435453161693</v>
      </c>
      <c r="L6" s="13">
        <f>'Income Statement'!L28</f>
        <v>2567.454283571009</v>
      </c>
      <c r="M6" s="13">
        <f>'Income Statement'!M28</f>
        <v>2905.4184897449318</v>
      </c>
      <c r="N6" s="13">
        <f>'Income Statement'!N28</f>
        <v>3287.0290631955841</v>
      </c>
      <c r="O6" s="13">
        <f>'Income Statement'!O28</f>
        <v>3716.8180836995184</v>
      </c>
      <c r="P6" s="13">
        <f>'Income Statement'!P28</f>
        <v>4199.7901805877209</v>
      </c>
      <c r="Q6" s="13">
        <f>'Income Statement'!Q28</f>
        <v>4741.4713034085353</v>
      </c>
      <c r="R6" s="13">
        <f>'Income Statement'!R28</f>
        <v>5347.9625091612561</v>
      </c>
      <c r="S6" s="13">
        <f>'Income Statement'!S28</f>
        <v>6025.999281166637</v>
      </c>
      <c r="T6" s="13">
        <f>'Income Statement'!T28</f>
        <v>6783.0169474782588</v>
      </c>
      <c r="U6" s="13">
        <f>'Income Statement'!U28</f>
        <v>7627.222824994642</v>
      </c>
    </row>
    <row r="7" spans="1:21" ht="13.5" customHeight="1" thickBot="1">
      <c r="A7" s="12" t="s">
        <v>60</v>
      </c>
      <c r="B7" s="13">
        <f>-'Income Statement'!B26</f>
        <v>278</v>
      </c>
      <c r="C7" s="13">
        <f>-'Income Statement'!C26</f>
        <v>254</v>
      </c>
      <c r="D7" s="13">
        <f>-'Income Statement'!D26</f>
        <v>50</v>
      </c>
      <c r="E7" s="13">
        <f>-'Income Statement'!E26</f>
        <v>266</v>
      </c>
      <c r="F7" s="13">
        <f>-'Income Statement'!F26</f>
        <v>1059</v>
      </c>
      <c r="G7" s="13">
        <f>-'Income Statement'!G26</f>
        <v>1011</v>
      </c>
      <c r="H7" s="13">
        <f>-'Income Statement'!H26</f>
        <v>1903</v>
      </c>
      <c r="I7" s="13">
        <f>-'Income Statement'!I26</f>
        <v>2510</v>
      </c>
      <c r="J7" s="13">
        <f>-'Income Statement'!J26</f>
        <v>1948</v>
      </c>
      <c r="K7" s="13">
        <f>-'Income Statement'!K26</f>
        <v>2060.6782382992446</v>
      </c>
      <c r="L7" s="13">
        <f>-'Income Statement'!L26</f>
        <v>2276.7990816573092</v>
      </c>
      <c r="M7" s="13">
        <f>-'Income Statement'!M26</f>
        <v>2576.5031890190899</v>
      </c>
      <c r="N7" s="13">
        <f>-'Income Statement'!N26</f>
        <v>2914.9125654753288</v>
      </c>
      <c r="O7" s="13">
        <f>-'Income Statement'!O26</f>
        <v>3296.0462251674967</v>
      </c>
      <c r="P7" s="13">
        <f>-'Income Statement'!P26</f>
        <v>3724.3422356155261</v>
      </c>
      <c r="Q7" s="13">
        <f>-'Income Statement'!Q26</f>
        <v>4204.7009671736059</v>
      </c>
      <c r="R7" s="13">
        <f>-'Income Statement'!R26</f>
        <v>4742.5327911429995</v>
      </c>
      <c r="S7" s="13">
        <f>-'Income Statement'!S26</f>
        <v>5343.810683298715</v>
      </c>
      <c r="T7" s="13">
        <f>-'Income Statement'!T26</f>
        <v>6015.1282364429835</v>
      </c>
      <c r="U7" s="13">
        <f>-'Income Statement'!U26</f>
        <v>6763.7636372593988</v>
      </c>
    </row>
    <row r="8" spans="1:21" ht="13.5" customHeight="1" thickBot="1">
      <c r="A8" s="12" t="s">
        <v>20</v>
      </c>
      <c r="B8" s="13">
        <f>'Income Statement'!B8</f>
        <v>1714</v>
      </c>
      <c r="C8" s="13">
        <f>'Income Statement'!C8</f>
        <v>1754</v>
      </c>
      <c r="D8" s="13">
        <f>'Income Statement'!D8</f>
        <v>1412</v>
      </c>
      <c r="E8" s="13">
        <f>'Income Statement'!E8</f>
        <v>1528</v>
      </c>
      <c r="F8" s="13">
        <f>'Income Statement'!F8</f>
        <v>1998</v>
      </c>
      <c r="G8" s="13">
        <f>'Income Statement'!G8</f>
        <v>2019</v>
      </c>
      <c r="H8" s="13">
        <f>'Income Statement'!H8</f>
        <v>2074</v>
      </c>
      <c r="I8" s="13">
        <f>'Income Statement'!I8</f>
        <v>2241</v>
      </c>
      <c r="J8" s="13">
        <f>'Income Statement'!J8</f>
        <v>2244</v>
      </c>
      <c r="K8" s="13">
        <f>'Income Statement'!K8</f>
        <v>2532.8481140321933</v>
      </c>
      <c r="L8" s="13">
        <f>'Income Statement'!L8</f>
        <v>2630.9610646554206</v>
      </c>
      <c r="M8" s="13">
        <f>'Income Statement'!M8</f>
        <v>2762.5091178881908</v>
      </c>
      <c r="N8" s="13">
        <f>'Income Statement'!N8</f>
        <v>2900.6345737826009</v>
      </c>
      <c r="O8" s="13">
        <f>'Income Statement'!O8</f>
        <v>3045.6663024717313</v>
      </c>
      <c r="P8" s="13">
        <f>'Income Statement'!P8</f>
        <v>3197.9496175953168</v>
      </c>
      <c r="Q8" s="13">
        <f>'Income Statement'!Q8</f>
        <v>3357.8470984750834</v>
      </c>
      <c r="R8" s="13">
        <f>'Income Statement'!R8</f>
        <v>3525.7394533988386</v>
      </c>
      <c r="S8" s="13">
        <f>'Income Statement'!S8</f>
        <v>3702.0264260687804</v>
      </c>
      <c r="T8" s="13">
        <f>'Income Statement'!T8</f>
        <v>3887.1277473722198</v>
      </c>
      <c r="U8" s="13">
        <f>'Income Statement'!U8</f>
        <v>4081.484134740831</v>
      </c>
    </row>
    <row r="9" spans="1:21" ht="13.5" customHeight="1" thickBot="1">
      <c r="A9" s="57" t="s">
        <v>63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13"/>
      <c r="N9" s="13"/>
      <c r="O9" s="13"/>
      <c r="P9" s="13"/>
      <c r="Q9" s="13"/>
      <c r="R9" s="13"/>
      <c r="S9" s="13"/>
      <c r="T9" s="13"/>
      <c r="U9" s="13"/>
    </row>
    <row r="10" spans="1:21" ht="13.5" customHeight="1" thickBot="1">
      <c r="A10" s="12" t="s">
        <v>35</v>
      </c>
      <c r="B10" s="36">
        <v>427</v>
      </c>
      <c r="C10" s="36">
        <v>649</v>
      </c>
      <c r="D10" s="36">
        <v>119</v>
      </c>
      <c r="E10" s="36">
        <v>132</v>
      </c>
      <c r="F10" s="36">
        <v>-472</v>
      </c>
      <c r="G10" s="36">
        <v>56</v>
      </c>
      <c r="H10" s="13">
        <v>166</v>
      </c>
      <c r="I10" s="13">
        <v>460</v>
      </c>
      <c r="J10" s="13">
        <v>-521</v>
      </c>
      <c r="K10" s="13">
        <f>J10</f>
        <v>-521</v>
      </c>
      <c r="L10" s="13">
        <f t="shared" ref="L10:O10" si="3">K10</f>
        <v>-521</v>
      </c>
      <c r="M10" s="13">
        <f t="shared" si="3"/>
        <v>-521</v>
      </c>
      <c r="N10" s="13">
        <f t="shared" si="3"/>
        <v>-521</v>
      </c>
      <c r="O10" s="13">
        <f t="shared" si="3"/>
        <v>-521</v>
      </c>
      <c r="P10" s="13">
        <f t="shared" ref="P10:U10" si="4">O10</f>
        <v>-521</v>
      </c>
      <c r="Q10" s="13">
        <f t="shared" si="4"/>
        <v>-521</v>
      </c>
      <c r="R10" s="13">
        <f t="shared" si="4"/>
        <v>-521</v>
      </c>
      <c r="S10" s="13">
        <f t="shared" si="4"/>
        <v>-521</v>
      </c>
      <c r="T10" s="13">
        <f t="shared" si="4"/>
        <v>-521</v>
      </c>
      <c r="U10" s="13">
        <f t="shared" si="4"/>
        <v>-521</v>
      </c>
    </row>
    <row r="11" spans="1:21" ht="13.5" customHeight="1" thickBot="1">
      <c r="A11" s="12" t="s">
        <v>36</v>
      </c>
      <c r="B11" s="36">
        <v>-393</v>
      </c>
      <c r="C11" s="36">
        <v>-631</v>
      </c>
      <c r="D11" s="36">
        <v>259</v>
      </c>
      <c r="E11" s="36">
        <v>42</v>
      </c>
      <c r="F11" s="36">
        <v>-618</v>
      </c>
      <c r="G11" s="36">
        <v>-573</v>
      </c>
      <c r="H11" s="13">
        <v>-873</v>
      </c>
      <c r="I11" s="13">
        <v>-638</v>
      </c>
      <c r="J11" s="13">
        <v>-709</v>
      </c>
      <c r="K11" s="13">
        <f t="shared" ref="K11:O13" si="5">J11</f>
        <v>-709</v>
      </c>
      <c r="L11" s="13">
        <f t="shared" si="5"/>
        <v>-709</v>
      </c>
      <c r="M11" s="13">
        <f t="shared" si="5"/>
        <v>-709</v>
      </c>
      <c r="N11" s="13">
        <f t="shared" si="5"/>
        <v>-709</v>
      </c>
      <c r="O11" s="13">
        <f t="shared" si="5"/>
        <v>-709</v>
      </c>
      <c r="P11" s="13">
        <f t="shared" ref="P11:U11" si="6">O11</f>
        <v>-709</v>
      </c>
      <c r="Q11" s="13">
        <f t="shared" si="6"/>
        <v>-709</v>
      </c>
      <c r="R11" s="13">
        <f t="shared" si="6"/>
        <v>-709</v>
      </c>
      <c r="S11" s="13">
        <f t="shared" si="6"/>
        <v>-709</v>
      </c>
      <c r="T11" s="13">
        <f t="shared" si="6"/>
        <v>-709</v>
      </c>
      <c r="U11" s="13">
        <f t="shared" si="6"/>
        <v>-709</v>
      </c>
    </row>
    <row r="12" spans="1:21" ht="13.5" customHeight="1" thickBot="1">
      <c r="A12" s="12" t="s">
        <v>61</v>
      </c>
      <c r="B12" s="36">
        <v>-28</v>
      </c>
      <c r="C12" s="36">
        <v>-28</v>
      </c>
      <c r="D12" s="36">
        <v>60</v>
      </c>
      <c r="E12" s="36">
        <v>-27</v>
      </c>
      <c r="F12" s="36">
        <v>-101</v>
      </c>
      <c r="G12" s="36">
        <v>-12</v>
      </c>
      <c r="H12" s="13">
        <v>-29</v>
      </c>
      <c r="I12" s="13">
        <v>-41</v>
      </c>
      <c r="J12" s="13">
        <v>-55</v>
      </c>
      <c r="K12" s="13">
        <f t="shared" si="5"/>
        <v>-55</v>
      </c>
      <c r="L12" s="13">
        <f t="shared" si="5"/>
        <v>-55</v>
      </c>
      <c r="M12" s="13">
        <f t="shared" si="5"/>
        <v>-55</v>
      </c>
      <c r="N12" s="13">
        <f t="shared" si="5"/>
        <v>-55</v>
      </c>
      <c r="O12" s="13">
        <f t="shared" si="5"/>
        <v>-55</v>
      </c>
      <c r="P12" s="13">
        <f t="shared" ref="P12:U12" si="7">O12</f>
        <v>-55</v>
      </c>
      <c r="Q12" s="13">
        <f t="shared" si="7"/>
        <v>-55</v>
      </c>
      <c r="R12" s="13">
        <f t="shared" si="7"/>
        <v>-55</v>
      </c>
      <c r="S12" s="13">
        <f t="shared" si="7"/>
        <v>-55</v>
      </c>
      <c r="T12" s="13">
        <f t="shared" si="7"/>
        <v>-55</v>
      </c>
      <c r="U12" s="13">
        <f t="shared" si="7"/>
        <v>-55</v>
      </c>
    </row>
    <row r="13" spans="1:21" ht="13.5" customHeight="1" thickBot="1">
      <c r="A13" s="12" t="s">
        <v>48</v>
      </c>
      <c r="B13" s="103">
        <v>110</v>
      </c>
      <c r="C13" s="103">
        <v>-106</v>
      </c>
      <c r="D13" s="103">
        <v>-60</v>
      </c>
      <c r="E13" s="103">
        <v>132</v>
      </c>
      <c r="F13" s="103">
        <v>495</v>
      </c>
      <c r="G13" s="103">
        <v>0</v>
      </c>
      <c r="H13" s="104">
        <v>-205</v>
      </c>
      <c r="I13" s="104">
        <v>143</v>
      </c>
      <c r="J13" s="104">
        <v>802</v>
      </c>
      <c r="K13" s="104">
        <f t="shared" si="5"/>
        <v>802</v>
      </c>
      <c r="L13" s="104">
        <f t="shared" si="5"/>
        <v>802</v>
      </c>
      <c r="M13" s="104">
        <f t="shared" si="5"/>
        <v>802</v>
      </c>
      <c r="N13" s="104">
        <f t="shared" si="5"/>
        <v>802</v>
      </c>
      <c r="O13" s="104">
        <f t="shared" si="5"/>
        <v>802</v>
      </c>
      <c r="P13" s="104">
        <f t="shared" ref="P13:U13" si="8">O13</f>
        <v>802</v>
      </c>
      <c r="Q13" s="104">
        <f t="shared" si="8"/>
        <v>802</v>
      </c>
      <c r="R13" s="104">
        <f t="shared" si="8"/>
        <v>802</v>
      </c>
      <c r="S13" s="104">
        <f t="shared" si="8"/>
        <v>802</v>
      </c>
      <c r="T13" s="104">
        <f t="shared" si="8"/>
        <v>802</v>
      </c>
      <c r="U13" s="104">
        <f t="shared" si="8"/>
        <v>802</v>
      </c>
    </row>
    <row r="14" spans="1:21" s="76" customFormat="1" ht="13.5" customHeight="1" thickBot="1">
      <c r="A14" s="12" t="s">
        <v>62</v>
      </c>
      <c r="B14" s="26">
        <f>SUM(B10:B13)</f>
        <v>116</v>
      </c>
      <c r="C14" s="26">
        <f t="shared" ref="C14:O14" si="9">SUM(C10:C13)</f>
        <v>-116</v>
      </c>
      <c r="D14" s="26">
        <f t="shared" si="9"/>
        <v>378</v>
      </c>
      <c r="E14" s="26">
        <f t="shared" si="9"/>
        <v>279</v>
      </c>
      <c r="F14" s="26">
        <f t="shared" si="9"/>
        <v>-696</v>
      </c>
      <c r="G14" s="26">
        <f t="shared" si="9"/>
        <v>-529</v>
      </c>
      <c r="H14" s="26">
        <f t="shared" si="9"/>
        <v>-941</v>
      </c>
      <c r="I14" s="26">
        <f t="shared" si="9"/>
        <v>-76</v>
      </c>
      <c r="J14" s="26">
        <f t="shared" si="9"/>
        <v>-483</v>
      </c>
      <c r="K14" s="26">
        <f t="shared" si="9"/>
        <v>-483</v>
      </c>
      <c r="L14" s="26">
        <f t="shared" si="9"/>
        <v>-483</v>
      </c>
      <c r="M14" s="26">
        <f t="shared" si="9"/>
        <v>-483</v>
      </c>
      <c r="N14" s="26">
        <f t="shared" si="9"/>
        <v>-483</v>
      </c>
      <c r="O14" s="26">
        <f t="shared" si="9"/>
        <v>-483</v>
      </c>
      <c r="P14" s="26">
        <f t="shared" ref="P14:U14" si="10">SUM(P10:P13)</f>
        <v>-483</v>
      </c>
      <c r="Q14" s="26">
        <f t="shared" si="10"/>
        <v>-483</v>
      </c>
      <c r="R14" s="26">
        <f t="shared" si="10"/>
        <v>-483</v>
      </c>
      <c r="S14" s="26">
        <f t="shared" si="10"/>
        <v>-483</v>
      </c>
      <c r="T14" s="26">
        <f t="shared" si="10"/>
        <v>-483</v>
      </c>
      <c r="U14" s="26">
        <f t="shared" si="10"/>
        <v>-483</v>
      </c>
    </row>
    <row r="15" spans="1:21" ht="13.5" customHeight="1">
      <c r="A15" s="6" t="s">
        <v>2</v>
      </c>
      <c r="B15" s="21">
        <f>B16-B14-B8-B7-B6</f>
        <v>757</v>
      </c>
      <c r="C15" s="21">
        <f t="shared" ref="C15:O15" si="11">C16-C14-C8-C7-C6</f>
        <v>-286</v>
      </c>
      <c r="D15" s="21">
        <f t="shared" si="11"/>
        <v>-215</v>
      </c>
      <c r="E15" s="21">
        <f t="shared" si="11"/>
        <v>345</v>
      </c>
      <c r="F15" s="21">
        <f t="shared" si="11"/>
        <v>1048</v>
      </c>
      <c r="G15" s="21">
        <f t="shared" si="11"/>
        <v>-830</v>
      </c>
      <c r="H15" s="21">
        <f t="shared" si="11"/>
        <v>395</v>
      </c>
      <c r="I15" s="21">
        <f t="shared" si="11"/>
        <v>596</v>
      </c>
      <c r="J15" s="21">
        <f t="shared" si="11"/>
        <v>-303</v>
      </c>
      <c r="K15" s="21">
        <f t="shared" si="11"/>
        <v>-120.11459198091961</v>
      </c>
      <c r="L15" s="21">
        <f t="shared" si="11"/>
        <v>-77.157311928374838</v>
      </c>
      <c r="M15" s="21">
        <f t="shared" si="11"/>
        <v>-100.75814166892815</v>
      </c>
      <c r="N15" s="21">
        <f t="shared" si="11"/>
        <v>-135.43335877506252</v>
      </c>
      <c r="O15" s="21">
        <f t="shared" si="11"/>
        <v>-182.0113725459114</v>
      </c>
      <c r="P15" s="21">
        <f t="shared" ref="P15:U15" si="12">P16-P14-P8-P7-P6</f>
        <v>-241.39978171025541</v>
      </c>
      <c r="Q15" s="21">
        <f t="shared" si="12"/>
        <v>-314.59308024468555</v>
      </c>
      <c r="R15" s="21">
        <f t="shared" si="12"/>
        <v>-402.68113410783735</v>
      </c>
      <c r="S15" s="21">
        <f t="shared" si="12"/>
        <v>-506.85850694195869</v>
      </c>
      <c r="T15" s="21">
        <f t="shared" si="12"/>
        <v>-628.43472074527017</v>
      </c>
      <c r="U15" s="21">
        <f t="shared" si="12"/>
        <v>-768.84554628328078</v>
      </c>
    </row>
    <row r="16" spans="1:21" s="18" customFormat="1" ht="15" customHeight="1">
      <c r="A16" s="49" t="s">
        <v>64</v>
      </c>
      <c r="B16" s="67">
        <v>4682</v>
      </c>
      <c r="C16" s="67">
        <v>3863</v>
      </c>
      <c r="D16" s="67">
        <v>1482</v>
      </c>
      <c r="E16" s="67">
        <v>3017</v>
      </c>
      <c r="F16" s="67">
        <v>7715</v>
      </c>
      <c r="G16" s="67">
        <v>5139</v>
      </c>
      <c r="H16" s="67">
        <v>5279</v>
      </c>
      <c r="I16" s="67">
        <v>7160</v>
      </c>
      <c r="J16" s="67">
        <v>5610</v>
      </c>
      <c r="K16" s="67">
        <f>K17*'Income Statement'!K40</f>
        <v>6314.155305666688</v>
      </c>
      <c r="L16" s="67">
        <f>L17*'Income Statement'!L40</f>
        <v>6915.0571179553635</v>
      </c>
      <c r="M16" s="67">
        <f>M17*'Income Statement'!M40</f>
        <v>7660.6726549832838</v>
      </c>
      <c r="N16" s="67">
        <f>N17*'Income Statement'!N40</f>
        <v>8484.1428436784518</v>
      </c>
      <c r="O16" s="67">
        <f>O17*'Income Statement'!O40</f>
        <v>9393.5192387928346</v>
      </c>
      <c r="P16" s="67">
        <f>P17*'Income Statement'!P40</f>
        <v>10397.682252088309</v>
      </c>
      <c r="Q16" s="67">
        <f>Q17*'Income Statement'!Q40</f>
        <v>11506.426288812539</v>
      </c>
      <c r="R16" s="67">
        <f>R17*'Income Statement'!R40</f>
        <v>12730.553619595257</v>
      </c>
      <c r="S16" s="67">
        <f>S17*'Income Statement'!S40</f>
        <v>14081.977883592173</v>
      </c>
      <c r="T16" s="67">
        <f>T17*'Income Statement'!T40</f>
        <v>15573.838210548192</v>
      </c>
      <c r="U16" s="67">
        <f>U17*'Income Statement'!U40</f>
        <v>17220.625050711591</v>
      </c>
    </row>
    <row r="17" spans="1:21" ht="13.5" customHeight="1" thickBot="1">
      <c r="A17" s="37" t="s">
        <v>106</v>
      </c>
      <c r="B17" s="88">
        <f>B16/'Income Statement'!B40</f>
        <v>0.88741470811220624</v>
      </c>
      <c r="C17" s="88">
        <f>C16/'Income Statement'!C40</f>
        <v>0.61239695624603674</v>
      </c>
      <c r="D17" s="88">
        <f>D16/'Income Statement'!D40</f>
        <v>0.65778961384820245</v>
      </c>
      <c r="E17" s="88">
        <f>E16/'Income Statement'!E40</f>
        <v>0.86101598173515981</v>
      </c>
      <c r="F17" s="88">
        <f>F16/'Income Statement'!F40</f>
        <v>0.74982991544367772</v>
      </c>
      <c r="G17" s="88">
        <f>G16/'Income Statement'!G40</f>
        <v>0.56565767749036877</v>
      </c>
      <c r="H17" s="88">
        <f>H16/'Income Statement'!H40</f>
        <v>0.63495309117151788</v>
      </c>
      <c r="I17" s="88">
        <f>I16/'Income Statement'!I40</f>
        <v>0.78508771929824561</v>
      </c>
      <c r="J17" s="88">
        <f>J16/'Income Statement'!J40</f>
        <v>0.64019171516603901</v>
      </c>
      <c r="K17" s="102">
        <v>0.67</v>
      </c>
      <c r="L17" s="102">
        <v>0.67</v>
      </c>
      <c r="M17" s="102">
        <v>0.67</v>
      </c>
      <c r="N17" s="102">
        <v>0.67</v>
      </c>
      <c r="O17" s="102">
        <v>0.67</v>
      </c>
      <c r="P17" s="102">
        <v>0.67</v>
      </c>
      <c r="Q17" s="102">
        <v>0.67</v>
      </c>
      <c r="R17" s="102">
        <v>0.67</v>
      </c>
      <c r="S17" s="102">
        <v>0.67</v>
      </c>
      <c r="T17" s="102">
        <v>0.67</v>
      </c>
      <c r="U17" s="102">
        <v>0.67</v>
      </c>
    </row>
    <row r="18" spans="1:21" ht="13.5" customHeight="1" thickBot="1">
      <c r="A18" s="16"/>
      <c r="B18" s="36"/>
      <c r="C18" s="36"/>
      <c r="D18" s="36"/>
      <c r="E18" s="36"/>
      <c r="F18" s="36"/>
      <c r="G18" s="36"/>
      <c r="H18" s="36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 s="18" customFormat="1" ht="15" customHeight="1" thickBot="1">
      <c r="A19" s="16" t="s">
        <v>77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1:21" ht="13.5" customHeight="1" thickBot="1">
      <c r="A20" s="12" t="s">
        <v>65</v>
      </c>
      <c r="B20" s="26">
        <v>-1410</v>
      </c>
      <c r="C20" s="26">
        <v>-1971</v>
      </c>
      <c r="D20" s="26">
        <v>-2652</v>
      </c>
      <c r="E20" s="26">
        <v>-1961</v>
      </c>
      <c r="F20" s="26">
        <v>-2115</v>
      </c>
      <c r="G20" s="26">
        <v>-3469</v>
      </c>
      <c r="H20" s="26">
        <v>-4824</v>
      </c>
      <c r="I20" s="26">
        <v>-4808</v>
      </c>
      <c r="J20" s="26">
        <v>-4494</v>
      </c>
      <c r="K20" s="101">
        <v>-4500</v>
      </c>
      <c r="L20" s="101">
        <v>-4500</v>
      </c>
      <c r="M20" s="101">
        <v>-4500</v>
      </c>
      <c r="N20" s="101">
        <v>-4500</v>
      </c>
      <c r="O20" s="101">
        <v>-4500</v>
      </c>
      <c r="P20" s="101">
        <v>-4500</v>
      </c>
      <c r="Q20" s="101">
        <v>-4500</v>
      </c>
      <c r="R20" s="101">
        <v>-4500</v>
      </c>
      <c r="S20" s="101">
        <v>-4500</v>
      </c>
      <c r="T20" s="101">
        <v>-4500</v>
      </c>
      <c r="U20" s="101">
        <v>-4500</v>
      </c>
    </row>
    <row r="21" spans="1:21" ht="13.5" customHeight="1" thickBot="1">
      <c r="A21" s="12" t="s">
        <v>66</v>
      </c>
      <c r="B21" s="26"/>
      <c r="C21" s="26"/>
      <c r="D21" s="26"/>
      <c r="E21" s="26"/>
      <c r="F21" s="26"/>
      <c r="G21" s="26"/>
      <c r="H21" s="26"/>
      <c r="I21" s="26">
        <v>-210</v>
      </c>
      <c r="J21" s="26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</row>
    <row r="22" spans="1:21" ht="13.5" customHeight="1">
      <c r="A22" s="6" t="s">
        <v>2</v>
      </c>
      <c r="B22" s="62">
        <f>B23-B21-B20</f>
        <v>47</v>
      </c>
      <c r="C22" s="62">
        <f t="shared" ref="C22:J22" si="13">C23-C21-C20</f>
        <v>-3047</v>
      </c>
      <c r="D22" s="62">
        <f t="shared" si="13"/>
        <v>549</v>
      </c>
      <c r="E22" s="62">
        <f t="shared" si="13"/>
        <v>697</v>
      </c>
      <c r="F22" s="62">
        <f t="shared" si="13"/>
        <v>151</v>
      </c>
      <c r="G22" s="62">
        <f t="shared" si="13"/>
        <v>29</v>
      </c>
      <c r="H22" s="62">
        <f t="shared" si="13"/>
        <v>-132</v>
      </c>
      <c r="I22" s="62">
        <f t="shared" si="13"/>
        <v>-10</v>
      </c>
      <c r="J22" s="62">
        <f t="shared" si="13"/>
        <v>22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1">
        <v>0</v>
      </c>
      <c r="T22" s="21">
        <v>0</v>
      </c>
      <c r="U22" s="21">
        <v>0</v>
      </c>
    </row>
    <row r="23" spans="1:21" s="1" customFormat="1" ht="15" customHeight="1">
      <c r="A23" s="49" t="s">
        <v>67</v>
      </c>
      <c r="B23" s="67">
        <v>-1363</v>
      </c>
      <c r="C23" s="67">
        <v>-5018</v>
      </c>
      <c r="D23" s="67">
        <v>-2103</v>
      </c>
      <c r="E23" s="67">
        <v>-1264</v>
      </c>
      <c r="F23" s="67">
        <v>-1964</v>
      </c>
      <c r="G23" s="67">
        <v>-3440</v>
      </c>
      <c r="H23" s="67">
        <v>-4956</v>
      </c>
      <c r="I23" s="67">
        <v>-5028</v>
      </c>
      <c r="J23" s="67">
        <v>-4472</v>
      </c>
      <c r="K23" s="67">
        <f>SUM(K20:K22)</f>
        <v>-4500</v>
      </c>
      <c r="L23" s="67">
        <f t="shared" ref="L23:O23" si="14">SUM(L20:L22)</f>
        <v>-4500</v>
      </c>
      <c r="M23" s="67">
        <f t="shared" si="14"/>
        <v>-4500</v>
      </c>
      <c r="N23" s="67">
        <f t="shared" si="14"/>
        <v>-4500</v>
      </c>
      <c r="O23" s="67">
        <f t="shared" si="14"/>
        <v>-4500</v>
      </c>
      <c r="P23" s="67">
        <f t="shared" ref="P23" si="15">SUM(P20:P22)</f>
        <v>-4500</v>
      </c>
      <c r="Q23" s="67">
        <f t="shared" ref="Q23" si="16">SUM(Q20:Q22)</f>
        <v>-4500</v>
      </c>
      <c r="R23" s="67">
        <f t="shared" ref="R23" si="17">SUM(R20:R22)</f>
        <v>-4500</v>
      </c>
      <c r="S23" s="67">
        <f t="shared" ref="S23" si="18">SUM(S20:S22)</f>
        <v>-4500</v>
      </c>
      <c r="T23" s="67">
        <f t="shared" ref="T23" si="19">SUM(T20:T22)</f>
        <v>-4500</v>
      </c>
      <c r="U23" s="67">
        <f t="shared" ref="U23" si="20">SUM(U20:U22)</f>
        <v>-4500</v>
      </c>
    </row>
    <row r="24" spans="1:21" s="18" customFormat="1" ht="15" customHeight="1" thickBot="1">
      <c r="A24" s="45"/>
      <c r="B24" s="44"/>
      <c r="C24" s="44"/>
      <c r="D24" s="44"/>
      <c r="E24" s="44"/>
      <c r="F24" s="44"/>
      <c r="G24" s="44"/>
      <c r="H24" s="44"/>
      <c r="I24" s="44"/>
      <c r="J24" s="44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1:21" s="18" customFormat="1" ht="15" customHeight="1" thickBot="1">
      <c r="A25" s="16" t="s">
        <v>78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21" ht="13.5" customHeight="1" thickBot="1">
      <c r="A26" s="12" t="s">
        <v>68</v>
      </c>
      <c r="B26" s="26">
        <v>955</v>
      </c>
      <c r="C26" s="26">
        <v>632</v>
      </c>
      <c r="D26" s="26">
        <v>1879</v>
      </c>
      <c r="E26" s="26">
        <v>3531</v>
      </c>
      <c r="F26" s="26">
        <v>1201</v>
      </c>
      <c r="G26" s="26">
        <v>5735</v>
      </c>
      <c r="H26" s="26">
        <v>1781</v>
      </c>
      <c r="I26" s="26">
        <v>2251</v>
      </c>
      <c r="J26" s="26">
        <v>3195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</row>
    <row r="27" spans="1:21" ht="13.5" customHeight="1" thickBot="1">
      <c r="A27" s="12" t="s">
        <v>69</v>
      </c>
      <c r="B27" s="26">
        <v>-3812</v>
      </c>
      <c r="C27" s="26">
        <v>-2717</v>
      </c>
      <c r="D27" s="26">
        <v>-3197</v>
      </c>
      <c r="E27" s="26">
        <v>-3724</v>
      </c>
      <c r="F27" s="26">
        <v>-1461</v>
      </c>
      <c r="G27" s="26">
        <v>-4515</v>
      </c>
      <c r="H27" s="26">
        <v>-2980</v>
      </c>
      <c r="I27" s="26">
        <v>-2772</v>
      </c>
      <c r="J27" s="26">
        <v>-2814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</row>
    <row r="28" spans="1:21" ht="13.5" customHeight="1" thickBot="1">
      <c r="A28" s="12" t="s">
        <v>70</v>
      </c>
      <c r="B28" s="26">
        <v>-176</v>
      </c>
      <c r="C28" s="26">
        <v>-496</v>
      </c>
      <c r="D28" s="26">
        <v>-373</v>
      </c>
      <c r="E28" s="26">
        <v>-73</v>
      </c>
      <c r="F28" s="26">
        <v>-914</v>
      </c>
      <c r="G28" s="26">
        <v>-1706</v>
      </c>
      <c r="H28" s="26">
        <v>-1488</v>
      </c>
      <c r="I28" s="26">
        <v>-2698</v>
      </c>
      <c r="J28" s="26">
        <v>-2139</v>
      </c>
      <c r="K28" s="13">
        <f>-K41</f>
        <v>-2192.210891807707</v>
      </c>
      <c r="L28" s="13">
        <f t="shared" ref="L28:O28" si="21">-L41</f>
        <v>-2422.1266826141591</v>
      </c>
      <c r="M28" s="13">
        <f t="shared" si="21"/>
        <v>-2740.9608393820108</v>
      </c>
      <c r="N28" s="13">
        <f t="shared" si="21"/>
        <v>-3100.9708143354565</v>
      </c>
      <c r="O28" s="13">
        <f t="shared" si="21"/>
        <v>-3506.4321544335075</v>
      </c>
      <c r="P28" s="13">
        <f t="shared" ref="P28:U28" si="22">-P41</f>
        <v>-3962.0662081016235</v>
      </c>
      <c r="Q28" s="13">
        <f t="shared" si="22"/>
        <v>-4473.0861352910706</v>
      </c>
      <c r="R28" s="13">
        <f t="shared" si="22"/>
        <v>-5045.2476501521278</v>
      </c>
      <c r="S28" s="13">
        <f t="shared" si="22"/>
        <v>-5684.904982232676</v>
      </c>
      <c r="T28" s="13">
        <f t="shared" si="22"/>
        <v>-6399.0725919606211</v>
      </c>
      <c r="U28" s="13">
        <f t="shared" si="22"/>
        <v>-7195.4932311270204</v>
      </c>
    </row>
    <row r="29" spans="1:21" ht="13.5" customHeight="1" thickBot="1">
      <c r="A29" s="12" t="s">
        <v>71</v>
      </c>
      <c r="B29" s="26">
        <v>0</v>
      </c>
      <c r="C29" s="26">
        <v>0</v>
      </c>
      <c r="D29" s="26">
        <v>0</v>
      </c>
      <c r="E29" s="26">
        <v>0</v>
      </c>
      <c r="F29" s="26">
        <v>-488</v>
      </c>
      <c r="G29" s="26">
        <v>-1347</v>
      </c>
      <c r="H29" s="26">
        <v>0</v>
      </c>
      <c r="I29" s="26">
        <v>-59</v>
      </c>
      <c r="J29" s="26">
        <v>-107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</row>
    <row r="30" spans="1:21" ht="13.5" customHeight="1">
      <c r="A30" s="6" t="s">
        <v>2</v>
      </c>
      <c r="B30" s="62">
        <v>-84</v>
      </c>
      <c r="C30" s="62">
        <v>3506</v>
      </c>
      <c r="D30" s="62">
        <v>115</v>
      </c>
      <c r="E30" s="62">
        <v>150</v>
      </c>
      <c r="F30" s="62">
        <v>322</v>
      </c>
      <c r="G30" s="62">
        <v>212</v>
      </c>
      <c r="H30" s="62">
        <v>-1024</v>
      </c>
      <c r="I30" s="62">
        <v>311</v>
      </c>
      <c r="J30" s="62">
        <v>628</v>
      </c>
      <c r="K30" s="34">
        <v>0</v>
      </c>
      <c r="L30" s="34">
        <v>0</v>
      </c>
      <c r="M30" s="34">
        <v>0</v>
      </c>
      <c r="N30" s="34">
        <v>0</v>
      </c>
      <c r="O30" s="34">
        <v>0</v>
      </c>
      <c r="P30" s="34">
        <v>0</v>
      </c>
      <c r="Q30" s="34">
        <v>0</v>
      </c>
      <c r="R30" s="34">
        <v>0</v>
      </c>
      <c r="S30" s="34">
        <v>0</v>
      </c>
      <c r="T30" s="34">
        <v>0</v>
      </c>
      <c r="U30" s="34">
        <v>0</v>
      </c>
    </row>
    <row r="31" spans="1:21" s="18" customFormat="1" ht="15" customHeight="1">
      <c r="A31" s="49" t="s">
        <v>73</v>
      </c>
      <c r="B31" s="67">
        <v>-3117</v>
      </c>
      <c r="C31" s="67">
        <v>925</v>
      </c>
      <c r="D31" s="67">
        <v>-1576</v>
      </c>
      <c r="E31" s="67">
        <v>-116</v>
      </c>
      <c r="F31" s="67">
        <v>-1340</v>
      </c>
      <c r="G31" s="67">
        <v>-1621</v>
      </c>
      <c r="H31" s="67">
        <v>-3711</v>
      </c>
      <c r="I31" s="67">
        <v>-2967</v>
      </c>
      <c r="J31" s="67">
        <v>-1237</v>
      </c>
      <c r="K31" s="67">
        <f>SUM(K26:K30)</f>
        <v>-2192.210891807707</v>
      </c>
      <c r="L31" s="67">
        <f t="shared" ref="L31:O31" si="23">SUM(L26:L30)</f>
        <v>-2422.1266826141591</v>
      </c>
      <c r="M31" s="67">
        <f t="shared" si="23"/>
        <v>-2740.9608393820108</v>
      </c>
      <c r="N31" s="67">
        <f t="shared" si="23"/>
        <v>-3100.9708143354565</v>
      </c>
      <c r="O31" s="67">
        <f t="shared" si="23"/>
        <v>-3506.4321544335075</v>
      </c>
      <c r="P31" s="67">
        <f t="shared" ref="P31" si="24">SUM(P26:P30)</f>
        <v>-3962.0662081016235</v>
      </c>
      <c r="Q31" s="67">
        <f t="shared" ref="Q31" si="25">SUM(Q26:Q30)</f>
        <v>-4473.0861352910706</v>
      </c>
      <c r="R31" s="67">
        <f t="shared" ref="R31" si="26">SUM(R26:R30)</f>
        <v>-5045.2476501521278</v>
      </c>
      <c r="S31" s="67">
        <f t="shared" ref="S31" si="27">SUM(S26:S30)</f>
        <v>-5684.904982232676</v>
      </c>
      <c r="T31" s="67">
        <f t="shared" ref="T31" si="28">SUM(T26:T30)</f>
        <v>-6399.0725919606211</v>
      </c>
      <c r="U31" s="67">
        <f t="shared" ref="U31" si="29">SUM(U26:U30)</f>
        <v>-7195.4932311270204</v>
      </c>
    </row>
    <row r="32" spans="1:21" ht="13.5" customHeight="1">
      <c r="A32" s="6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ht="13.5" customHeight="1">
      <c r="A33" s="49" t="s">
        <v>72</v>
      </c>
      <c r="B33" s="20">
        <f t="shared" ref="B33:I33" si="30">B31+B23+B16</f>
        <v>202</v>
      </c>
      <c r="C33" s="20">
        <f t="shared" si="30"/>
        <v>-230</v>
      </c>
      <c r="D33" s="20">
        <f t="shared" si="30"/>
        <v>-2197</v>
      </c>
      <c r="E33" s="20">
        <f t="shared" si="30"/>
        <v>1637</v>
      </c>
      <c r="F33" s="20">
        <f t="shared" si="30"/>
        <v>4411</v>
      </c>
      <c r="G33" s="20">
        <f t="shared" si="30"/>
        <v>78</v>
      </c>
      <c r="H33" s="20">
        <f t="shared" si="30"/>
        <v>-3388</v>
      </c>
      <c r="I33" s="20">
        <f t="shared" si="30"/>
        <v>-835</v>
      </c>
      <c r="J33" s="20">
        <f>J31+J23+J16</f>
        <v>-99</v>
      </c>
      <c r="K33" s="20">
        <f t="shared" ref="K33:O33" si="31">K31+K23+K16</f>
        <v>-378.05558614101847</v>
      </c>
      <c r="L33" s="20">
        <f t="shared" si="31"/>
        <v>-7.0695646587955707</v>
      </c>
      <c r="M33" s="20">
        <f t="shared" si="31"/>
        <v>419.71181560127297</v>
      </c>
      <c r="N33" s="20">
        <f t="shared" si="31"/>
        <v>883.1720293429953</v>
      </c>
      <c r="O33" s="20">
        <f t="shared" si="31"/>
        <v>1387.0870843593275</v>
      </c>
      <c r="P33" s="20">
        <f t="shared" ref="P33:U33" si="32">P31+P23+P16</f>
        <v>1935.6160439866853</v>
      </c>
      <c r="Q33" s="20">
        <f t="shared" si="32"/>
        <v>2533.3401535214689</v>
      </c>
      <c r="R33" s="20">
        <f t="shared" si="32"/>
        <v>3185.3059694431304</v>
      </c>
      <c r="S33" s="20">
        <f t="shared" si="32"/>
        <v>3897.0729013594973</v>
      </c>
      <c r="T33" s="20">
        <f t="shared" si="32"/>
        <v>4674.7656185875712</v>
      </c>
      <c r="U33" s="20">
        <f t="shared" si="32"/>
        <v>5525.1318195845706</v>
      </c>
    </row>
    <row r="34" spans="1:21" ht="13.5" customHeight="1" thickBot="1">
      <c r="A34" s="12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</row>
    <row r="35" spans="1:21" ht="13.5" customHeight="1">
      <c r="A35" s="6" t="s">
        <v>74</v>
      </c>
      <c r="B35" s="62">
        <f>B36-B33</f>
        <v>4245.0000000000018</v>
      </c>
      <c r="C35" s="62">
        <f>B36</f>
        <v>4447.0000000000018</v>
      </c>
      <c r="D35" s="62">
        <f t="shared" ref="D35:J35" si="33">C36</f>
        <v>4217.0000000000018</v>
      </c>
      <c r="E35" s="62">
        <f t="shared" si="33"/>
        <v>2020.0000000000018</v>
      </c>
      <c r="F35" s="62">
        <f t="shared" si="33"/>
        <v>3657.0000000000018</v>
      </c>
      <c r="G35" s="62">
        <f t="shared" si="33"/>
        <v>8068.0000000000018</v>
      </c>
      <c r="H35" s="62">
        <f t="shared" si="33"/>
        <v>8146.0000000000018</v>
      </c>
      <c r="I35" s="62">
        <f t="shared" si="33"/>
        <v>4758.0000000000018</v>
      </c>
      <c r="J35" s="62">
        <f t="shared" si="33"/>
        <v>3923.0000000000018</v>
      </c>
      <c r="K35" s="34">
        <f>J36</f>
        <v>3824.0000000000018</v>
      </c>
      <c r="L35" s="34">
        <f t="shared" ref="L35:U35" si="34">K36</f>
        <v>3445.9444138589834</v>
      </c>
      <c r="M35" s="34">
        <f t="shared" si="34"/>
        <v>3438.8748492001878</v>
      </c>
      <c r="N35" s="34">
        <f t="shared" si="34"/>
        <v>3858.5866648014608</v>
      </c>
      <c r="O35" s="34">
        <f t="shared" si="34"/>
        <v>4741.7586941444561</v>
      </c>
      <c r="P35" s="34">
        <f t="shared" si="34"/>
        <v>6128.8457785037835</v>
      </c>
      <c r="Q35" s="34">
        <f t="shared" si="34"/>
        <v>8064.4618224904689</v>
      </c>
      <c r="R35" s="34">
        <f t="shared" si="34"/>
        <v>10597.801976011939</v>
      </c>
      <c r="S35" s="34">
        <f t="shared" si="34"/>
        <v>13783.107945455069</v>
      </c>
      <c r="T35" s="34">
        <f t="shared" si="34"/>
        <v>17680.180846814568</v>
      </c>
      <c r="U35" s="34">
        <f t="shared" si="34"/>
        <v>22354.946465402139</v>
      </c>
    </row>
    <row r="36" spans="1:21" ht="13.5" customHeight="1" thickBot="1">
      <c r="A36" s="78" t="s">
        <v>75</v>
      </c>
      <c r="B36" s="79">
        <v>4447.0000000000018</v>
      </c>
      <c r="C36" s="79">
        <f>C35+C33</f>
        <v>4217.0000000000018</v>
      </c>
      <c r="D36" s="79">
        <f t="shared" ref="D36:K36" si="35">D35+D33</f>
        <v>2020.0000000000018</v>
      </c>
      <c r="E36" s="79">
        <f t="shared" si="35"/>
        <v>3657.0000000000018</v>
      </c>
      <c r="F36" s="79">
        <f t="shared" si="35"/>
        <v>8068.0000000000018</v>
      </c>
      <c r="G36" s="79">
        <f t="shared" si="35"/>
        <v>8146.0000000000018</v>
      </c>
      <c r="H36" s="79">
        <f t="shared" si="35"/>
        <v>4758.0000000000018</v>
      </c>
      <c r="I36" s="79">
        <f t="shared" si="35"/>
        <v>3923.0000000000018</v>
      </c>
      <c r="J36" s="79">
        <f t="shared" si="35"/>
        <v>3824.0000000000018</v>
      </c>
      <c r="K36" s="79">
        <f t="shared" si="35"/>
        <v>3445.9444138589834</v>
      </c>
      <c r="L36" s="79">
        <f t="shared" ref="L36:O36" si="36">L35+L33</f>
        <v>3438.8748492001878</v>
      </c>
      <c r="M36" s="79">
        <f t="shared" si="36"/>
        <v>3858.5866648014608</v>
      </c>
      <c r="N36" s="79">
        <f t="shared" si="36"/>
        <v>4741.7586941444561</v>
      </c>
      <c r="O36" s="79">
        <f t="shared" si="36"/>
        <v>6128.8457785037835</v>
      </c>
      <c r="P36" s="79">
        <f t="shared" ref="P36:U36" si="37">P35+P33</f>
        <v>8064.4618224904689</v>
      </c>
      <c r="Q36" s="79">
        <f t="shared" si="37"/>
        <v>10597.801976011939</v>
      </c>
      <c r="R36" s="79">
        <f t="shared" si="37"/>
        <v>13783.107945455069</v>
      </c>
      <c r="S36" s="79">
        <f t="shared" si="37"/>
        <v>17680.180846814568</v>
      </c>
      <c r="T36" s="79">
        <f t="shared" si="37"/>
        <v>22354.946465402139</v>
      </c>
      <c r="U36" s="79">
        <f t="shared" si="37"/>
        <v>27880.07828498671</v>
      </c>
    </row>
    <row r="37" spans="1:21" ht="13.5" customHeight="1" thickBot="1">
      <c r="A37" s="12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1:21" ht="13.5" customHeight="1" thickBot="1">
      <c r="A38" s="12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 ht="13.5" customHeight="1" thickBot="1">
      <c r="A39" s="16" t="s">
        <v>112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 ht="13.5" customHeight="1" thickBot="1">
      <c r="A40" s="12" t="s">
        <v>11</v>
      </c>
      <c r="B40" s="13">
        <f>'Income Statement'!B25</f>
        <v>2095</v>
      </c>
      <c r="C40" s="13">
        <f>'Income Statement'!C25</f>
        <v>2511</v>
      </c>
      <c r="D40" s="13">
        <f>'Income Statement'!D25</f>
        <v>-93</v>
      </c>
      <c r="E40" s="13">
        <f>'Income Statement'!E25</f>
        <v>865</v>
      </c>
      <c r="F40" s="13">
        <f>'Income Statement'!F25</f>
        <v>5365</v>
      </c>
      <c r="G40" s="13">
        <f>'Income Statement'!G25</f>
        <v>4479</v>
      </c>
      <c r="H40" s="13">
        <f>'Income Statement'!H25</f>
        <v>3751</v>
      </c>
      <c r="I40" s="13">
        <f>'Income Statement'!I25</f>
        <v>4399</v>
      </c>
      <c r="J40" s="13">
        <f>'Income Statement'!J25</f>
        <v>4152</v>
      </c>
      <c r="K40" s="13">
        <f>'Income Statement'!K25</f>
        <v>4384.4217836154139</v>
      </c>
      <c r="L40" s="13">
        <f>'Income Statement'!L25</f>
        <v>4844.2533652283182</v>
      </c>
      <c r="M40" s="13">
        <f>'Income Statement'!M25</f>
        <v>5481.9216787640216</v>
      </c>
      <c r="N40" s="13">
        <f>'Income Statement'!N25</f>
        <v>6201.9416286709129</v>
      </c>
      <c r="O40" s="13">
        <f>'Income Statement'!O25</f>
        <v>7012.8643088670151</v>
      </c>
      <c r="P40" s="13">
        <f>'Income Statement'!P25</f>
        <v>7924.132416203247</v>
      </c>
      <c r="Q40" s="13">
        <f>'Income Statement'!Q25</f>
        <v>8946.1722705821412</v>
      </c>
      <c r="R40" s="13">
        <f>'Income Statement'!R25</f>
        <v>10090.495300304256</v>
      </c>
      <c r="S40" s="13">
        <f>'Income Statement'!S25</f>
        <v>11369.809964465352</v>
      </c>
      <c r="T40" s="13">
        <f>'Income Statement'!T25</f>
        <v>12798.145183921242</v>
      </c>
      <c r="U40" s="13">
        <f>'Income Statement'!U25</f>
        <v>14390.986462254041</v>
      </c>
    </row>
    <row r="41" spans="1:21" ht="13.5" customHeight="1" thickBot="1">
      <c r="A41" s="12" t="s">
        <v>70</v>
      </c>
      <c r="B41" s="13">
        <f>-B28</f>
        <v>176</v>
      </c>
      <c r="C41" s="13">
        <f t="shared" ref="C41:J41" si="38">-C28</f>
        <v>496</v>
      </c>
      <c r="D41" s="13">
        <f t="shared" si="38"/>
        <v>373</v>
      </c>
      <c r="E41" s="13">
        <f t="shared" si="38"/>
        <v>73</v>
      </c>
      <c r="F41" s="13">
        <f t="shared" si="38"/>
        <v>914</v>
      </c>
      <c r="G41" s="13">
        <f t="shared" si="38"/>
        <v>1706</v>
      </c>
      <c r="H41" s="13">
        <f t="shared" si="38"/>
        <v>1488</v>
      </c>
      <c r="I41" s="13">
        <f t="shared" si="38"/>
        <v>2698</v>
      </c>
      <c r="J41" s="13">
        <f t="shared" si="38"/>
        <v>2139</v>
      </c>
      <c r="K41" s="13">
        <f>K42*K40</f>
        <v>2192.210891807707</v>
      </c>
      <c r="L41" s="13">
        <f t="shared" ref="L41:O41" si="39">L42*L40</f>
        <v>2422.1266826141591</v>
      </c>
      <c r="M41" s="13">
        <f t="shared" si="39"/>
        <v>2740.9608393820108</v>
      </c>
      <c r="N41" s="13">
        <f t="shared" si="39"/>
        <v>3100.9708143354565</v>
      </c>
      <c r="O41" s="13">
        <f t="shared" si="39"/>
        <v>3506.4321544335075</v>
      </c>
      <c r="P41" s="13">
        <f t="shared" ref="P41" si="40">P42*P40</f>
        <v>3962.0662081016235</v>
      </c>
      <c r="Q41" s="13">
        <f t="shared" ref="Q41" si="41">Q42*Q40</f>
        <v>4473.0861352910706</v>
      </c>
      <c r="R41" s="13">
        <f t="shared" ref="R41" si="42">R42*R40</f>
        <v>5045.2476501521278</v>
      </c>
      <c r="S41" s="13">
        <f t="shared" ref="S41" si="43">S42*S40</f>
        <v>5684.904982232676</v>
      </c>
      <c r="T41" s="13">
        <f t="shared" ref="T41" si="44">T42*T40</f>
        <v>6399.0725919606211</v>
      </c>
      <c r="U41" s="13">
        <f t="shared" ref="U41" si="45">U42*U40</f>
        <v>7195.4932311270204</v>
      </c>
    </row>
    <row r="42" spans="1:21" ht="13.5" customHeight="1" thickBot="1">
      <c r="A42" s="12" t="s">
        <v>0</v>
      </c>
      <c r="B42" s="33">
        <f>B41/B40</f>
        <v>8.4009546539379476E-2</v>
      </c>
      <c r="C42" s="33">
        <f t="shared" ref="C42:J42" si="46">C41/C40</f>
        <v>0.19753086419753085</v>
      </c>
      <c r="D42" s="33">
        <f t="shared" si="46"/>
        <v>-4.010752688172043</v>
      </c>
      <c r="E42" s="33">
        <f t="shared" si="46"/>
        <v>8.4393063583815028E-2</v>
      </c>
      <c r="F42" s="33">
        <f t="shared" si="46"/>
        <v>0.17036346691519105</v>
      </c>
      <c r="G42" s="33">
        <f t="shared" si="46"/>
        <v>0.38088859120339363</v>
      </c>
      <c r="H42" s="33">
        <f t="shared" si="46"/>
        <v>0.39669421487603307</v>
      </c>
      <c r="I42" s="33">
        <f t="shared" si="46"/>
        <v>0.61332120936576495</v>
      </c>
      <c r="J42" s="33">
        <f t="shared" si="46"/>
        <v>0.51517341040462428</v>
      </c>
      <c r="K42" s="39">
        <v>0.5</v>
      </c>
      <c r="L42" s="39">
        <v>0.5</v>
      </c>
      <c r="M42" s="39">
        <v>0.5</v>
      </c>
      <c r="N42" s="39">
        <v>0.5</v>
      </c>
      <c r="O42" s="39">
        <v>0.5</v>
      </c>
      <c r="P42" s="39">
        <v>0.5</v>
      </c>
      <c r="Q42" s="39">
        <v>0.5</v>
      </c>
      <c r="R42" s="39">
        <v>0.5</v>
      </c>
      <c r="S42" s="39">
        <v>0.5</v>
      </c>
      <c r="T42" s="39">
        <v>0.5</v>
      </c>
      <c r="U42" s="39">
        <v>0.5</v>
      </c>
    </row>
    <row r="43" spans="1:21" ht="13.5" customHeight="1" thickBot="1">
      <c r="A43" s="12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</row>
    <row r="44" spans="1:21" ht="13.5" customHeight="1" thickBot="1">
      <c r="A44" s="12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</row>
    <row r="45" spans="1:21" ht="13.5" customHeight="1" thickBot="1">
      <c r="A45" s="12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</row>
    <row r="46" spans="1:21" ht="13.5" customHeight="1" thickBot="1">
      <c r="A46" s="12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</row>
    <row r="47" spans="1:21" ht="13.5" customHeight="1" thickBot="1">
      <c r="A47" s="12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</row>
    <row r="48" spans="1:21" ht="13.5" customHeight="1" thickBot="1">
      <c r="A48" s="12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</row>
    <row r="49" spans="1:15" ht="13.5" customHeight="1" thickBot="1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</row>
    <row r="50" spans="1:15" ht="13.5" customHeight="1" thickBot="1">
      <c r="A50" s="12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</row>
    <row r="51" spans="1:15" ht="13.5" customHeight="1" thickBot="1">
      <c r="A51" s="12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</row>
    <row r="52" spans="1:15" ht="13.5" customHeight="1" thickBot="1">
      <c r="A52" s="12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</row>
    <row r="53" spans="1:15" ht="13.5" customHeight="1" thickBot="1">
      <c r="A53" s="12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</row>
    <row r="54" spans="1:15" ht="13.5" customHeight="1" thickBot="1">
      <c r="A54" s="12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</row>
    <row r="55" spans="1:15" ht="13.5" customHeight="1" thickBot="1">
      <c r="A55" s="12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</row>
    <row r="56" spans="1:15" ht="13.5" customHeight="1" thickBot="1">
      <c r="A56" s="12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</row>
    <row r="57" spans="1:15" ht="13.5" customHeight="1" thickBot="1">
      <c r="A57" s="12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</row>
    <row r="58" spans="1:15" ht="13.5" customHeight="1" thickBot="1">
      <c r="A58" s="12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</row>
    <row r="59" spans="1:15" ht="13.5" customHeight="1" thickBot="1">
      <c r="A59" s="12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</row>
    <row r="60" spans="1:15" ht="13.5" customHeight="1" thickBot="1">
      <c r="A60" s="12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</row>
    <row r="61" spans="1:15" ht="13.5" customHeight="1" thickBot="1">
      <c r="A61" s="12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</row>
    <row r="62" spans="1:15" ht="13.5" customHeight="1" thickBot="1">
      <c r="A62" s="1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</row>
    <row r="63" spans="1:15" ht="13.5" customHeight="1" thickBot="1">
      <c r="A63" s="12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</row>
    <row r="64" spans="1:15" ht="13.5" customHeight="1" thickBot="1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</row>
    <row r="65" spans="1:15" ht="13.5" customHeight="1" thickBot="1">
      <c r="A65" s="12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</row>
    <row r="66" spans="1:15" ht="13.5" customHeight="1" thickBot="1">
      <c r="A66" s="12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</row>
    <row r="67" spans="1:15" ht="13.5" customHeight="1" thickBot="1">
      <c r="A67" s="12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</row>
    <row r="68" spans="1:15" ht="13.5" customHeight="1" thickBot="1">
      <c r="A68" s="12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</row>
    <row r="69" spans="1:15" ht="13.5" customHeight="1" thickBot="1">
      <c r="A69" s="12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</row>
    <row r="70" spans="1:15" ht="13.5" customHeight="1" thickBot="1">
      <c r="A70" s="12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</row>
    <row r="71" spans="1:15" ht="13.5" customHeight="1" thickBot="1">
      <c r="A71" s="12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</row>
    <row r="72" spans="1:15" ht="13.5" customHeight="1" thickBot="1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</row>
    <row r="73" spans="1:15" ht="13.5" customHeight="1" thickBot="1">
      <c r="A73" s="12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</row>
    <row r="74" spans="1:15" ht="13.5" customHeight="1" thickBot="1">
      <c r="A74" s="12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</row>
    <row r="75" spans="1:15" ht="13.5" customHeight="1" thickBot="1">
      <c r="A75" s="12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</row>
    <row r="76" spans="1:15" ht="13.5" customHeight="1" thickBot="1">
      <c r="A76" s="12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</row>
    <row r="77" spans="1:15" ht="13.5" customHeight="1" thickBot="1">
      <c r="A77" s="12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</row>
    <row r="78" spans="1:15" ht="13.5" customHeight="1" thickBot="1">
      <c r="A78" s="12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</row>
    <row r="79" spans="1:15" ht="13.5" customHeight="1" thickBot="1">
      <c r="A79" s="12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</row>
    <row r="80" spans="1:15" ht="13.5" customHeight="1" thickBot="1">
      <c r="A80" s="12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</row>
    <row r="81" spans="1:15" ht="13.5" customHeight="1" thickBot="1">
      <c r="A81" s="12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</row>
    <row r="82" spans="1:15" ht="13.5" customHeight="1" thickBot="1">
      <c r="A82" s="12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</row>
    <row r="83" spans="1:15" ht="13.5" customHeight="1" thickBot="1">
      <c r="A83" s="12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</row>
    <row r="84" spans="1:15" ht="13.5" customHeight="1" thickBot="1">
      <c r="A84" s="12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</row>
    <row r="85" spans="1:15" ht="13.5" customHeight="1" thickBot="1">
      <c r="A85" s="12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</row>
    <row r="86" spans="1:15" ht="13.5" customHeight="1" thickBot="1">
      <c r="A86" s="12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</row>
    <row r="87" spans="1:15" ht="13.5" customHeight="1" thickBot="1">
      <c r="A87" s="12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</row>
    <row r="88" spans="1:15" ht="13.5" customHeight="1" thickBot="1">
      <c r="A88" s="12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</row>
    <row r="89" spans="1:15" ht="13.5" customHeight="1" thickBot="1">
      <c r="A89" s="12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</row>
    <row r="90" spans="1:15" ht="13.5" customHeight="1" thickBot="1">
      <c r="A90" s="12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</row>
    <row r="91" spans="1:15" ht="13.5" customHeight="1" thickBot="1">
      <c r="A91" s="12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</row>
    <row r="92" spans="1:15" ht="13.5" customHeight="1" thickBot="1">
      <c r="A92" s="12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</row>
    <row r="93" spans="1:15" ht="13.5" customHeight="1" thickBot="1">
      <c r="A93" s="12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</row>
    <row r="94" spans="1:15" ht="13.5" customHeight="1" thickBot="1">
      <c r="A94" s="12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</row>
    <row r="95" spans="1:15" ht="13.5" customHeight="1" thickBot="1">
      <c r="A95" s="12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</row>
    <row r="96" spans="1:15" ht="13.5" customHeight="1" thickBot="1">
      <c r="A96" s="12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</row>
    <row r="97" spans="1:15" ht="13.5" customHeight="1" thickBot="1">
      <c r="A97" s="12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</row>
    <row r="98" spans="1:15" ht="13.5" customHeight="1" thickBot="1">
      <c r="A98" s="12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</row>
    <row r="99" spans="1:15" ht="13.5" customHeight="1" thickBot="1">
      <c r="A99" s="12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</row>
    <row r="100" spans="1:15" ht="13.5" customHeight="1" thickBot="1">
      <c r="A100" s="12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</row>
    <row r="101" spans="1:15" ht="13.5" customHeight="1" thickBot="1">
      <c r="A101" s="12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</row>
    <row r="102" spans="1:15" ht="13.5" customHeight="1" thickBot="1">
      <c r="A102" s="12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</row>
    <row r="103" spans="1:15" ht="13.5" customHeight="1" thickBot="1">
      <c r="A103" s="12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</row>
    <row r="104" spans="1:15" ht="13.5" customHeight="1" thickBot="1">
      <c r="A104" s="12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</row>
    <row r="105" spans="1:15" ht="13.5" customHeight="1" thickBot="1">
      <c r="A105" s="12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</row>
    <row r="106" spans="1:15" ht="13.5" customHeight="1" thickBot="1">
      <c r="A106" s="12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</row>
    <row r="107" spans="1:15" ht="13.5" customHeight="1" thickBot="1">
      <c r="A107" s="12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</row>
    <row r="108" spans="1:15" ht="13.5" customHeight="1" thickBot="1">
      <c r="A108" s="12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</row>
    <row r="109" spans="1:15" ht="13.5" customHeight="1" thickBot="1">
      <c r="A109" s="12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</row>
    <row r="110" spans="1:15" ht="13.5" customHeight="1" thickBot="1">
      <c r="A110" s="12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</row>
    <row r="111" spans="1:15" ht="13.5" customHeight="1" thickBot="1">
      <c r="A111" s="12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</row>
    <row r="112" spans="1:15" ht="13.5" customHeight="1" thickBot="1">
      <c r="A112" s="12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</row>
    <row r="113" spans="1:15" ht="13.5" customHeight="1" thickBot="1">
      <c r="A113" s="12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</row>
    <row r="114" spans="1:15" ht="13.5" customHeight="1" thickBot="1">
      <c r="A114" s="12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</row>
    <row r="115" spans="1:15" ht="13.5" customHeight="1" thickBot="1">
      <c r="A115" s="12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</row>
    <row r="116" spans="1:15" ht="13.5" customHeight="1" thickBot="1">
      <c r="A116" s="12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</row>
    <row r="117" spans="1:15" ht="13.5" customHeight="1" thickBot="1">
      <c r="A117" s="12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</row>
    <row r="118" spans="1:15" ht="13.5" customHeight="1" thickBot="1">
      <c r="A118" s="12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</row>
    <row r="119" spans="1:15" ht="13.5" customHeight="1" thickBot="1">
      <c r="A119" s="12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</row>
    <row r="120" spans="1:15" ht="13.5" customHeight="1" thickBot="1">
      <c r="A120" s="12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</row>
    <row r="121" spans="1:15" ht="13.5" customHeight="1" thickBot="1">
      <c r="A121" s="12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</row>
    <row r="122" spans="1:15" ht="13.5" customHeight="1" thickBot="1">
      <c r="A122" s="12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</row>
    <row r="123" spans="1:15" ht="13.5" customHeight="1" thickBot="1">
      <c r="A123" s="12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</row>
    <row r="124" spans="1:15" ht="13.5" customHeight="1" thickBot="1">
      <c r="A124" s="12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</row>
    <row r="125" spans="1:15" ht="13.5" customHeight="1" thickBot="1">
      <c r="A125" s="12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</row>
    <row r="126" spans="1:15" ht="13.5" customHeight="1" thickBot="1">
      <c r="A126" s="12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</row>
    <row r="127" spans="1:15" ht="13.5" customHeight="1" thickBot="1">
      <c r="A127" s="12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</row>
    <row r="128" spans="1:15" ht="13.5" customHeight="1" thickBot="1">
      <c r="A128" s="12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</row>
    <row r="129" spans="1:15" ht="13.5" customHeight="1" thickBot="1">
      <c r="A129" s="12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</row>
    <row r="130" spans="1:15" ht="13.5" customHeight="1" thickBot="1">
      <c r="A130" s="12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</row>
    <row r="131" spans="1:15" ht="13.5" customHeight="1" thickBot="1">
      <c r="A131" s="12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</row>
    <row r="132" spans="1:15" ht="13.5" customHeight="1" thickBot="1">
      <c r="A132" s="12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</row>
    <row r="133" spans="1:15" ht="13.5" customHeight="1" thickBot="1">
      <c r="A133" s="12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</row>
    <row r="134" spans="1:15" ht="13.5" customHeight="1" thickBot="1">
      <c r="A134" s="12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</row>
    <row r="135" spans="1:15" ht="13.5" customHeight="1" thickBot="1">
      <c r="A135" s="12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</row>
    <row r="136" spans="1:15" ht="13.5" customHeight="1" thickBot="1">
      <c r="A136" s="12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</row>
    <row r="137" spans="1:15" ht="13.5" customHeight="1" thickBot="1">
      <c r="A137" s="12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</row>
    <row r="138" spans="1:15" ht="13.5" customHeight="1" thickBot="1">
      <c r="A138" s="12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</row>
    <row r="139" spans="1:15" ht="13.5" customHeight="1" thickBot="1">
      <c r="A139" s="12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</row>
    <row r="140" spans="1:15" ht="13.5" customHeight="1" thickBot="1">
      <c r="A140" s="12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</row>
    <row r="141" spans="1:15" ht="13.5" customHeight="1" thickBot="1">
      <c r="A141" s="12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</row>
    <row r="142" spans="1:15" ht="13.5" customHeight="1" thickBot="1">
      <c r="A142" s="12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</row>
    <row r="143" spans="1:15" ht="13.5" customHeight="1" thickBot="1">
      <c r="A143" s="12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</row>
    <row r="144" spans="1:15" ht="13.5" customHeight="1" thickBot="1">
      <c r="A144" s="12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</row>
    <row r="145" spans="1:15" ht="13.5" customHeight="1" thickBot="1">
      <c r="A145" s="12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</row>
    <row r="146" spans="1:15" ht="13.5" customHeight="1" thickBot="1">
      <c r="A146" s="12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</row>
    <row r="147" spans="1:15" ht="13.5" customHeight="1" thickBot="1">
      <c r="A147" s="12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</row>
    <row r="148" spans="1:15" ht="13.5" customHeight="1" thickBot="1">
      <c r="A148" s="12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</row>
    <row r="149" spans="1:15" ht="13.5" customHeight="1" thickBot="1">
      <c r="A149" s="12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</row>
    <row r="150" spans="1:15" ht="13.5" customHeight="1" thickBot="1">
      <c r="A150" s="12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</row>
    <row r="151" spans="1:15" ht="13.5" customHeight="1" thickBot="1">
      <c r="A151" s="12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</row>
    <row r="152" spans="1:15" ht="13.5" customHeight="1" thickBot="1">
      <c r="A152" s="12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</row>
    <row r="153" spans="1:15" ht="13.5" customHeight="1" thickBot="1">
      <c r="A153" s="12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</row>
    <row r="154" spans="1:15" ht="13.5" customHeight="1" thickBot="1">
      <c r="A154" s="12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</row>
    <row r="155" spans="1:15" ht="13.5" customHeight="1" thickBot="1">
      <c r="A155" s="12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</row>
    <row r="156" spans="1:15" ht="13.5" customHeight="1" thickBot="1">
      <c r="A156" s="12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</row>
    <row r="157" spans="1:15" ht="13.5" customHeight="1" thickBot="1">
      <c r="A157" s="12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</row>
    <row r="158" spans="1:15" ht="13.5" customHeight="1" thickBot="1">
      <c r="A158" s="12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</row>
  </sheetData>
  <pageMargins left="0.7" right="0.7" top="0.75" bottom="0.75" header="0.3" footer="0.3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CB3B-B3F0-431D-8869-95EE7337A866}">
  <sheetPr codeName="Sheet2">
    <pageSetUpPr fitToPage="1"/>
  </sheetPr>
  <dimension ref="A1:U71"/>
  <sheetViews>
    <sheetView zoomScale="145" zoomScaleNormal="145" workbookViewId="0">
      <pane xSplit="1" ySplit="2" topLeftCell="B48" activePane="bottomRight" state="frozen"/>
      <selection pane="topRight" activeCell="B1" sqref="B1"/>
      <selection pane="bottomLeft" activeCell="A4" sqref="A4"/>
      <selection pane="bottomRight" activeCell="I74" sqref="I74"/>
    </sheetView>
  </sheetViews>
  <sheetFormatPr defaultColWidth="16.6640625" defaultRowHeight="15" customHeight="1"/>
  <cols>
    <col min="1" max="1" width="57.109375" style="1" customWidth="1"/>
    <col min="2" max="10" width="9.6640625" style="1" customWidth="1"/>
    <col min="11" max="15" width="10.33203125" style="1" customWidth="1"/>
    <col min="16" max="16" width="10.33203125" style="2" customWidth="1"/>
    <col min="17" max="21" width="10.33203125" style="1" customWidth="1"/>
    <col min="22" max="24" width="11.44140625" style="1" customWidth="1"/>
    <col min="25" max="29" width="12.44140625" style="1" customWidth="1"/>
    <col min="30" max="35" width="10" style="1" customWidth="1"/>
    <col min="36" max="16384" width="16.6640625" style="1"/>
  </cols>
  <sheetData>
    <row r="1" spans="1:21" ht="15" customHeight="1" thickBot="1">
      <c r="A1" s="3"/>
    </row>
    <row r="2" spans="1:21" ht="22.5" customHeight="1" thickTop="1" thickBot="1">
      <c r="A2" s="73" t="s">
        <v>17</v>
      </c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21" ht="16.5" customHeight="1">
      <c r="A3" s="7" t="s">
        <v>83</v>
      </c>
      <c r="B3" s="8">
        <f>B2</f>
        <v>2017</v>
      </c>
      <c r="C3" s="8">
        <f t="shared" ref="C3:O3" si="0">C2</f>
        <v>2018</v>
      </c>
      <c r="D3" s="8">
        <f t="shared" si="0"/>
        <v>2019</v>
      </c>
      <c r="E3" s="8">
        <f t="shared" si="0"/>
        <v>2020</v>
      </c>
      <c r="F3" s="8">
        <f t="shared" si="0"/>
        <v>2021</v>
      </c>
      <c r="G3" s="8">
        <f t="shared" si="0"/>
        <v>2022</v>
      </c>
      <c r="H3" s="8">
        <f t="shared" si="0"/>
        <v>2023</v>
      </c>
      <c r="I3" s="8">
        <f t="shared" si="0"/>
        <v>2024</v>
      </c>
      <c r="J3" s="8">
        <f t="shared" si="0"/>
        <v>2025</v>
      </c>
      <c r="K3" s="8">
        <f t="shared" si="0"/>
        <v>2026</v>
      </c>
      <c r="L3" s="8">
        <f t="shared" si="0"/>
        <v>2027</v>
      </c>
      <c r="M3" s="8">
        <f t="shared" si="0"/>
        <v>2028</v>
      </c>
      <c r="N3" s="8">
        <f t="shared" si="0"/>
        <v>2029</v>
      </c>
      <c r="O3" s="8">
        <f t="shared" si="0"/>
        <v>2030</v>
      </c>
      <c r="P3" s="8">
        <f t="shared" ref="P3" si="1">P2</f>
        <v>2031</v>
      </c>
      <c r="Q3" s="8">
        <f t="shared" ref="Q3" si="2">Q2</f>
        <v>2032</v>
      </c>
      <c r="R3" s="8">
        <f t="shared" ref="R3" si="3">R2</f>
        <v>2033</v>
      </c>
      <c r="S3" s="8">
        <f t="shared" ref="S3" si="4">S2</f>
        <v>2034</v>
      </c>
      <c r="T3" s="8">
        <f t="shared" ref="T3" si="5">T2</f>
        <v>2035</v>
      </c>
      <c r="U3" s="8">
        <f t="shared" ref="U3" si="6">U2</f>
        <v>2036</v>
      </c>
    </row>
    <row r="4" spans="1:21" ht="13.5" customHeight="1" thickBo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s="18" customFormat="1" ht="15" customHeight="1" thickBot="1">
      <c r="A5" s="16" t="s">
        <v>84</v>
      </c>
      <c r="B5" s="82">
        <v>2.7994764316613439</v>
      </c>
      <c r="C5" s="82">
        <v>2.9628347421413168</v>
      </c>
      <c r="D5" s="82">
        <v>2.7227203300380998</v>
      </c>
      <c r="E5" s="82">
        <v>2.8022064626020855</v>
      </c>
      <c r="F5" s="82">
        <v>4.2267302589525926</v>
      </c>
      <c r="G5" s="82">
        <v>4.0334621635465266</v>
      </c>
      <c r="H5" s="82">
        <v>3.8639892297525722</v>
      </c>
      <c r="I5" s="82">
        <v>4.0494645342312401</v>
      </c>
      <c r="J5" s="82">
        <v>4.5600732542768467</v>
      </c>
      <c r="K5" s="83">
        <v>6.1104902062751361</v>
      </c>
      <c r="L5" s="82">
        <f>K5*(1+L6)</f>
        <v>6.4160147165888928</v>
      </c>
      <c r="M5" s="82">
        <f t="shared" ref="M5:O5" si="7">L5*(1+M6)</f>
        <v>6.7368154524183375</v>
      </c>
      <c r="N5" s="82">
        <f t="shared" si="7"/>
        <v>7.0736562250392545</v>
      </c>
      <c r="O5" s="82">
        <f t="shared" si="7"/>
        <v>7.4273390362912179</v>
      </c>
      <c r="P5" s="82">
        <f t="shared" ref="P5" si="8">O5*(1+P6)</f>
        <v>7.7987059881057794</v>
      </c>
      <c r="Q5" s="82">
        <f t="shared" ref="Q5" si="9">P5*(1+Q6)</f>
        <v>8.1886412875110679</v>
      </c>
      <c r="R5" s="82">
        <f t="shared" ref="R5" si="10">Q5*(1+R6)</f>
        <v>8.5980733518866224</v>
      </c>
      <c r="S5" s="82">
        <f t="shared" ref="S5" si="11">R5*(1+S6)</f>
        <v>9.0279770194809537</v>
      </c>
      <c r="T5" s="82">
        <f t="shared" ref="T5" si="12">S5*(1+T6)</f>
        <v>9.4793758704550015</v>
      </c>
      <c r="U5" s="82">
        <f t="shared" ref="U5" si="13">T5*(1+U6)</f>
        <v>9.9533446639777523</v>
      </c>
    </row>
    <row r="6" spans="1:21" ht="15" customHeight="1" thickBot="1">
      <c r="A6" s="24" t="s">
        <v>5</v>
      </c>
      <c r="B6" s="28"/>
      <c r="C6" s="28">
        <f t="shared" ref="C6" si="14">C5/B5-1</f>
        <v>5.8353165124890305E-2</v>
      </c>
      <c r="D6" s="28">
        <f t="shared" ref="D6" si="15">D5/C5-1</f>
        <v>-8.1042121144320078E-2</v>
      </c>
      <c r="E6" s="28">
        <f t="shared" ref="E6" si="16">E5/D5-1</f>
        <v>2.9193645666454993E-2</v>
      </c>
      <c r="F6" s="28">
        <f t="shared" ref="F6" si="17">F5/E5-1</f>
        <v>0.5083579013045727</v>
      </c>
      <c r="G6" s="28">
        <f t="shared" ref="G6" si="18">G5/F5-1</f>
        <v>-4.5725202122067432E-2</v>
      </c>
      <c r="H6" s="28">
        <f t="shared" ref="H6" si="19">H5/G5-1</f>
        <v>-4.2016740686353971E-2</v>
      </c>
      <c r="I6" s="28">
        <f t="shared" ref="I6" si="20">I5/H5-1</f>
        <v>4.8000988990992699E-2</v>
      </c>
      <c r="J6" s="28">
        <f t="shared" ref="J6" si="21">J5/I5-1</f>
        <v>0.1260928983892291</v>
      </c>
      <c r="K6" s="28">
        <f t="shared" ref="K6" si="22">K5/J5-1</f>
        <v>0.33999825562981223</v>
      </c>
      <c r="L6" s="119">
        <v>0.05</v>
      </c>
      <c r="M6" s="56">
        <f>L6</f>
        <v>0.05</v>
      </c>
      <c r="N6" s="56">
        <f t="shared" ref="N6:U6" si="23">M6</f>
        <v>0.05</v>
      </c>
      <c r="O6" s="56">
        <f t="shared" si="23"/>
        <v>0.05</v>
      </c>
      <c r="P6" s="56">
        <f t="shared" si="23"/>
        <v>0.05</v>
      </c>
      <c r="Q6" s="56">
        <f t="shared" si="23"/>
        <v>0.05</v>
      </c>
      <c r="R6" s="56">
        <f t="shared" si="23"/>
        <v>0.05</v>
      </c>
      <c r="S6" s="56">
        <f t="shared" si="23"/>
        <v>0.05</v>
      </c>
      <c r="T6" s="56">
        <f t="shared" si="23"/>
        <v>0.05</v>
      </c>
      <c r="U6" s="56">
        <f t="shared" si="23"/>
        <v>0.05</v>
      </c>
    </row>
    <row r="7" spans="1:21" s="18" customFormat="1" ht="15" customHeight="1" thickBot="1">
      <c r="A7" s="16" t="s">
        <v>85</v>
      </c>
      <c r="B7" s="84">
        <v>1257.315384615385</v>
      </c>
      <c r="C7" s="84">
        <v>1269.2339189976688</v>
      </c>
      <c r="D7" s="84">
        <v>1389.0062851375599</v>
      </c>
      <c r="E7" s="84">
        <v>1770.8284860139859</v>
      </c>
      <c r="F7" s="84">
        <v>1799.3644522690852</v>
      </c>
      <c r="G7" s="84">
        <v>1810.1909824489237</v>
      </c>
      <c r="H7" s="84">
        <v>1951.0082181490384</v>
      </c>
      <c r="I7" s="84">
        <v>2344.5972497814687</v>
      </c>
      <c r="J7" s="84">
        <v>3469.4326238344988</v>
      </c>
      <c r="K7" s="85">
        <v>4424.4331143465897</v>
      </c>
      <c r="L7" s="84">
        <f>K7*(1+L8)</f>
        <v>4645.6547700639194</v>
      </c>
      <c r="M7" s="84">
        <f t="shared" ref="M7" si="24">L7*(1+M8)</f>
        <v>4877.9375085671154</v>
      </c>
      <c r="N7" s="84">
        <f t="shared" ref="N7" si="25">M7*(1+N8)</f>
        <v>5121.8343839954714</v>
      </c>
      <c r="O7" s="84">
        <f t="shared" ref="O7" si="26">N7*(1+O8)</f>
        <v>5377.9261031952456</v>
      </c>
      <c r="P7" s="84">
        <f t="shared" ref="P7" si="27">O7*(1+P8)</f>
        <v>5646.8224083550085</v>
      </c>
      <c r="Q7" s="84">
        <f t="shared" ref="Q7" si="28">P7*(1+Q8)</f>
        <v>5929.1635287727595</v>
      </c>
      <c r="R7" s="84">
        <f t="shared" ref="R7" si="29">Q7*(1+R8)</f>
        <v>6225.621705211398</v>
      </c>
      <c r="S7" s="84">
        <f t="shared" ref="S7" si="30">R7*(1+S8)</f>
        <v>6536.9027904719678</v>
      </c>
      <c r="T7" s="84">
        <f t="shared" ref="T7" si="31">S7*(1+T8)</f>
        <v>6863.7479299955667</v>
      </c>
      <c r="U7" s="84">
        <f t="shared" ref="U7" si="32">T7*(1+U8)</f>
        <v>7206.9353264953452</v>
      </c>
    </row>
    <row r="8" spans="1:21" ht="15" customHeight="1" thickBot="1">
      <c r="A8" s="24" t="s">
        <v>5</v>
      </c>
      <c r="B8" s="28"/>
      <c r="C8" s="28"/>
      <c r="D8" s="28">
        <f t="shared" ref="D8" si="33">D7/C7-1</f>
        <v>9.4365872474064583E-2</v>
      </c>
      <c r="E8" s="28">
        <f t="shared" ref="E8" si="34">E7/D7-1</f>
        <v>0.27488874957726517</v>
      </c>
      <c r="F8" s="28">
        <f t="shared" ref="F8" si="35">F7/E7-1</f>
        <v>1.6114472113181177E-2</v>
      </c>
      <c r="G8" s="28">
        <f t="shared" ref="G8" si="36">G7/F7-1</f>
        <v>6.0168634354123007E-3</v>
      </c>
      <c r="H8" s="28">
        <f t="shared" ref="H8" si="37">H7/G7-1</f>
        <v>7.7791369565662905E-2</v>
      </c>
      <c r="I8" s="28">
        <f t="shared" ref="I8" si="38">I7/H7-1</f>
        <v>0.20173622436395289</v>
      </c>
      <c r="J8" s="28">
        <f t="shared" ref="J8" si="39">J7/I7-1</f>
        <v>0.47975633092543801</v>
      </c>
      <c r="K8" s="28">
        <f t="shared" ref="K8" si="40">K7/J7-1</f>
        <v>0.27526128737920308</v>
      </c>
      <c r="L8" s="56">
        <f>L6</f>
        <v>0.05</v>
      </c>
      <c r="M8" s="56">
        <f>L8</f>
        <v>0.05</v>
      </c>
      <c r="N8" s="56">
        <f t="shared" ref="N8:U10" si="41">M8</f>
        <v>0.05</v>
      </c>
      <c r="O8" s="56">
        <f t="shared" si="41"/>
        <v>0.05</v>
      </c>
      <c r="P8" s="56">
        <f t="shared" si="41"/>
        <v>0.05</v>
      </c>
      <c r="Q8" s="56">
        <f t="shared" si="41"/>
        <v>0.05</v>
      </c>
      <c r="R8" s="56">
        <f t="shared" si="41"/>
        <v>0.05</v>
      </c>
      <c r="S8" s="56">
        <f t="shared" si="41"/>
        <v>0.05</v>
      </c>
      <c r="T8" s="56">
        <f t="shared" si="41"/>
        <v>0.05</v>
      </c>
      <c r="U8" s="56">
        <f t="shared" si="41"/>
        <v>0.05</v>
      </c>
    </row>
    <row r="9" spans="1:21" ht="15" customHeight="1" thickBot="1">
      <c r="A9" s="16" t="s">
        <v>86</v>
      </c>
      <c r="B9" s="86">
        <v>8.2208653846153847</v>
      </c>
      <c r="C9" s="86">
        <v>11.938416666666667</v>
      </c>
      <c r="D9" s="86">
        <v>11.607166666666666</v>
      </c>
      <c r="E9" s="86">
        <v>9.3383333333333329</v>
      </c>
      <c r="F9" s="86">
        <v>15.273583333333335</v>
      </c>
      <c r="G9" s="86">
        <v>18.671250000000001</v>
      </c>
      <c r="H9" s="86">
        <v>24.5075</v>
      </c>
      <c r="I9" s="86">
        <v>21.1</v>
      </c>
      <c r="J9" s="86">
        <v>22.035</v>
      </c>
      <c r="K9" s="85">
        <v>28.35</v>
      </c>
      <c r="L9" s="84">
        <f>K9*(1+L10)</f>
        <v>29.767500000000002</v>
      </c>
      <c r="M9" s="84">
        <f t="shared" ref="M9" si="42">L9*(1+M10)</f>
        <v>31.255875000000003</v>
      </c>
      <c r="N9" s="84">
        <f t="shared" ref="N9" si="43">M9*(1+N10)</f>
        <v>32.818668750000008</v>
      </c>
      <c r="O9" s="84">
        <f t="shared" ref="O9" si="44">N9*(1+O10)</f>
        <v>34.45960218750001</v>
      </c>
      <c r="P9" s="84">
        <f t="shared" ref="P9" si="45">O9*(1+P10)</f>
        <v>36.182582296875012</v>
      </c>
      <c r="Q9" s="84">
        <f t="shared" ref="Q9" si="46">P9*(1+Q10)</f>
        <v>37.991711411718761</v>
      </c>
      <c r="R9" s="84">
        <f t="shared" ref="R9" si="47">Q9*(1+R10)</f>
        <v>39.891296982304702</v>
      </c>
      <c r="S9" s="84">
        <f t="shared" ref="S9" si="48">R9*(1+S10)</f>
        <v>41.885861831419938</v>
      </c>
      <c r="T9" s="84">
        <f t="shared" ref="T9" si="49">S9*(1+T10)</f>
        <v>43.980154922990934</v>
      </c>
      <c r="U9" s="84">
        <f t="shared" ref="U9" si="50">T9*(1+U10)</f>
        <v>46.179162669140482</v>
      </c>
    </row>
    <row r="10" spans="1:21" ht="15" customHeight="1" thickBot="1">
      <c r="A10" s="24" t="s">
        <v>5</v>
      </c>
      <c r="B10" s="28"/>
      <c r="C10" s="28"/>
      <c r="D10" s="28">
        <f t="shared" ref="D10" si="51">D9/C9-1</f>
        <v>-2.7746560473541404E-2</v>
      </c>
      <c r="E10" s="28">
        <f t="shared" ref="E10" si="52">E9/D9-1</f>
        <v>-0.19546831698806777</v>
      </c>
      <c r="F10" s="28">
        <f t="shared" ref="F10" si="53">F9/E9-1</f>
        <v>0.63557915402462983</v>
      </c>
      <c r="G10" s="28">
        <f t="shared" ref="G10" si="54">G9/F9-1</f>
        <v>0.22245380095262512</v>
      </c>
      <c r="H10" s="28">
        <f t="shared" ref="H10" si="55">H9/G9-1</f>
        <v>0.31257950056905659</v>
      </c>
      <c r="I10" s="28">
        <f t="shared" ref="I10" si="56">I9/H9-1</f>
        <v>-0.1390390696725492</v>
      </c>
      <c r="J10" s="28">
        <f t="shared" ref="J10" si="57">J9/I9-1</f>
        <v>4.4312796208530791E-2</v>
      </c>
      <c r="K10" s="28">
        <f t="shared" ref="K10" si="58">K9/J9-1</f>
        <v>0.28658951667801236</v>
      </c>
      <c r="L10" s="56">
        <f>L8</f>
        <v>0.05</v>
      </c>
      <c r="M10" s="56">
        <f>L10</f>
        <v>0.05</v>
      </c>
      <c r="N10" s="56">
        <f t="shared" si="41"/>
        <v>0.05</v>
      </c>
      <c r="O10" s="56">
        <f t="shared" si="41"/>
        <v>0.05</v>
      </c>
      <c r="P10" s="56">
        <f t="shared" si="41"/>
        <v>0.05</v>
      </c>
      <c r="Q10" s="56">
        <f t="shared" si="41"/>
        <v>0.05</v>
      </c>
      <c r="R10" s="56">
        <f t="shared" si="41"/>
        <v>0.05</v>
      </c>
      <c r="S10" s="56">
        <f t="shared" si="41"/>
        <v>0.05</v>
      </c>
      <c r="T10" s="56">
        <f t="shared" si="41"/>
        <v>0.05</v>
      </c>
      <c r="U10" s="56">
        <f t="shared" si="41"/>
        <v>0.05</v>
      </c>
    </row>
    <row r="11" spans="1:21" ht="16.5" customHeight="1">
      <c r="A11" s="7" t="s">
        <v>79</v>
      </c>
      <c r="B11" s="8">
        <f t="shared" ref="B11:O11" si="59">B2</f>
        <v>2017</v>
      </c>
      <c r="C11" s="8">
        <f t="shared" si="59"/>
        <v>2018</v>
      </c>
      <c r="D11" s="8">
        <f t="shared" si="59"/>
        <v>2019</v>
      </c>
      <c r="E11" s="8">
        <f t="shared" si="59"/>
        <v>2020</v>
      </c>
      <c r="F11" s="8">
        <f t="shared" si="59"/>
        <v>2021</v>
      </c>
      <c r="G11" s="8">
        <f t="shared" si="59"/>
        <v>2022</v>
      </c>
      <c r="H11" s="8">
        <f t="shared" si="59"/>
        <v>2023</v>
      </c>
      <c r="I11" s="8">
        <f t="shared" si="59"/>
        <v>2024</v>
      </c>
      <c r="J11" s="8">
        <f t="shared" si="59"/>
        <v>2025</v>
      </c>
      <c r="K11" s="8">
        <f t="shared" si="59"/>
        <v>2026</v>
      </c>
      <c r="L11" s="8">
        <f t="shared" si="59"/>
        <v>2027</v>
      </c>
      <c r="M11" s="8">
        <f t="shared" si="59"/>
        <v>2028</v>
      </c>
      <c r="N11" s="8">
        <f t="shared" si="59"/>
        <v>2029</v>
      </c>
      <c r="O11" s="8">
        <f t="shared" si="59"/>
        <v>2030</v>
      </c>
      <c r="P11" s="8">
        <f t="shared" ref="P11:U11" si="60">P2</f>
        <v>2031</v>
      </c>
      <c r="Q11" s="8">
        <f t="shared" si="60"/>
        <v>2032</v>
      </c>
      <c r="R11" s="8">
        <f t="shared" si="60"/>
        <v>2033</v>
      </c>
      <c r="S11" s="8">
        <f t="shared" si="60"/>
        <v>2034</v>
      </c>
      <c r="T11" s="8">
        <f t="shared" si="60"/>
        <v>2035</v>
      </c>
      <c r="U11" s="8">
        <f t="shared" si="60"/>
        <v>2036</v>
      </c>
    </row>
    <row r="12" spans="1:21" ht="13.5" customHeight="1" thickBot="1">
      <c r="A12" s="90" t="s">
        <v>91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</row>
    <row r="13" spans="1:21" ht="15" customHeight="1" thickBot="1">
      <c r="A13" s="16" t="s">
        <v>80</v>
      </c>
      <c r="B13" s="10">
        <v>1481</v>
      </c>
      <c r="C13" s="10">
        <v>1427</v>
      </c>
      <c r="D13" s="10">
        <v>1440</v>
      </c>
      <c r="E13" s="10">
        <v>1420</v>
      </c>
      <c r="F13" s="10">
        <v>1436</v>
      </c>
      <c r="G13" s="10">
        <v>1472</v>
      </c>
      <c r="H13" s="10">
        <v>1367</v>
      </c>
      <c r="I13" s="10">
        <v>1263</v>
      </c>
      <c r="J13" s="10">
        <v>1300</v>
      </c>
      <c r="K13" s="35">
        <v>1300</v>
      </c>
      <c r="L13" s="35">
        <f>K13*(1+L14)</f>
        <v>1300</v>
      </c>
      <c r="M13" s="35">
        <f t="shared" ref="M13:O13" si="61">L13*(1+M14)</f>
        <v>1300</v>
      </c>
      <c r="N13" s="35">
        <f t="shared" si="61"/>
        <v>1300</v>
      </c>
      <c r="O13" s="35">
        <f t="shared" si="61"/>
        <v>1300</v>
      </c>
      <c r="P13" s="35">
        <f t="shared" ref="P13" si="62">O13*(1+P14)</f>
        <v>1300</v>
      </c>
      <c r="Q13" s="35">
        <f t="shared" ref="Q13" si="63">P13*(1+Q14)</f>
        <v>1300</v>
      </c>
      <c r="R13" s="35">
        <f t="shared" ref="R13" si="64">Q13*(1+R14)</f>
        <v>1300</v>
      </c>
      <c r="S13" s="35">
        <f t="shared" ref="S13" si="65">R13*(1+S14)</f>
        <v>1300</v>
      </c>
      <c r="T13" s="35">
        <f t="shared" ref="T13" si="66">S13*(1+T14)</f>
        <v>1300</v>
      </c>
      <c r="U13" s="35">
        <f t="shared" ref="U13" si="67">T13*(1+U14)</f>
        <v>1300</v>
      </c>
    </row>
    <row r="14" spans="1:21" ht="15" customHeight="1" thickBot="1">
      <c r="A14" s="24" t="s">
        <v>5</v>
      </c>
      <c r="B14" s="28"/>
      <c r="C14" s="28">
        <f t="shared" ref="C14:K14" si="68">C13/B13-1</f>
        <v>-3.6461850101282889E-2</v>
      </c>
      <c r="D14" s="28">
        <f t="shared" si="68"/>
        <v>9.1100210231254142E-3</v>
      </c>
      <c r="E14" s="28">
        <f t="shared" si="68"/>
        <v>-1.388888888888884E-2</v>
      </c>
      <c r="F14" s="28">
        <f t="shared" si="68"/>
        <v>1.1267605633802802E-2</v>
      </c>
      <c r="G14" s="28">
        <f t="shared" si="68"/>
        <v>2.5069637883008422E-2</v>
      </c>
      <c r="H14" s="28">
        <f t="shared" si="68"/>
        <v>-7.1331521739130488E-2</v>
      </c>
      <c r="I14" s="28">
        <f t="shared" si="68"/>
        <v>-7.6079005120702314E-2</v>
      </c>
      <c r="J14" s="28">
        <f t="shared" si="68"/>
        <v>2.9295328582739533E-2</v>
      </c>
      <c r="K14" s="28">
        <f t="shared" si="68"/>
        <v>0</v>
      </c>
      <c r="L14" s="56">
        <v>0</v>
      </c>
      <c r="M14" s="56">
        <v>0</v>
      </c>
      <c r="N14" s="56">
        <v>0</v>
      </c>
      <c r="O14" s="56">
        <v>0</v>
      </c>
      <c r="P14" s="56">
        <v>0</v>
      </c>
      <c r="Q14" s="56">
        <v>0</v>
      </c>
      <c r="R14" s="56">
        <v>0</v>
      </c>
      <c r="S14" s="56">
        <v>0</v>
      </c>
      <c r="T14" s="56">
        <v>0</v>
      </c>
      <c r="U14" s="56">
        <v>0</v>
      </c>
    </row>
    <row r="15" spans="1:21" ht="15" customHeight="1" thickBot="1">
      <c r="A15" s="16" t="s">
        <v>81</v>
      </c>
      <c r="B15" s="80">
        <v>0</v>
      </c>
      <c r="C15" s="80">
        <v>2.300000000000002E-2</v>
      </c>
      <c r="D15" s="80">
        <v>1.8000000000000016E-2</v>
      </c>
      <c r="E15" s="80">
        <v>1.2999999999999984E-2</v>
      </c>
      <c r="F15" s="80">
        <v>1.100000000000001E-2</v>
      </c>
      <c r="G15" s="80">
        <v>1.1999999999999955E-2</v>
      </c>
      <c r="H15" s="80">
        <v>1.6000000000000014E-2</v>
      </c>
      <c r="I15" s="80">
        <v>1.9999999999999962E-2</v>
      </c>
      <c r="J15" s="80">
        <v>1.6000000000000014E-2</v>
      </c>
      <c r="K15" s="80">
        <f>J15</f>
        <v>1.6000000000000014E-2</v>
      </c>
      <c r="L15" s="80">
        <f>K15*(1+L16)</f>
        <v>1.6000000000000014E-2</v>
      </c>
      <c r="M15" s="80">
        <f t="shared" ref="M15" si="69">L15*(1+M16)</f>
        <v>1.6000000000000014E-2</v>
      </c>
      <c r="N15" s="80">
        <f t="shared" ref="N15" si="70">M15*(1+N16)</f>
        <v>1.6000000000000014E-2</v>
      </c>
      <c r="O15" s="80">
        <f t="shared" ref="O15" si="71">N15*(1+O16)</f>
        <v>1.6000000000000014E-2</v>
      </c>
      <c r="P15" s="80">
        <f t="shared" ref="P15" si="72">O15*(1+P16)</f>
        <v>1.6000000000000014E-2</v>
      </c>
      <c r="Q15" s="80">
        <f t="shared" ref="Q15" si="73">P15*(1+Q16)</f>
        <v>1.6000000000000014E-2</v>
      </c>
      <c r="R15" s="80">
        <f t="shared" ref="R15" si="74">Q15*(1+R16)</f>
        <v>1.6000000000000014E-2</v>
      </c>
      <c r="S15" s="80">
        <f t="shared" ref="S15" si="75">R15*(1+S16)</f>
        <v>1.6000000000000014E-2</v>
      </c>
      <c r="T15" s="80">
        <f t="shared" ref="T15" si="76">S15*(1+T16)</f>
        <v>1.6000000000000014E-2</v>
      </c>
      <c r="U15" s="80">
        <f t="shared" ref="U15" si="77">T15*(1+U16)</f>
        <v>1.6000000000000014E-2</v>
      </c>
    </row>
    <row r="16" spans="1:21" ht="15" customHeight="1" thickBot="1">
      <c r="A16" s="24" t="s">
        <v>5</v>
      </c>
      <c r="B16" s="28"/>
      <c r="C16" s="28"/>
      <c r="D16" s="28">
        <f t="shared" ref="D16:K16" si="78">D15/C15-1</f>
        <v>-0.21739130434782605</v>
      </c>
      <c r="E16" s="28">
        <f t="shared" si="78"/>
        <v>-0.27777777777777934</v>
      </c>
      <c r="F16" s="28">
        <f t="shared" si="78"/>
        <v>-0.15384615384615208</v>
      </c>
      <c r="G16" s="28">
        <f t="shared" si="78"/>
        <v>9.0909090909085943E-2</v>
      </c>
      <c r="H16" s="28">
        <f t="shared" si="78"/>
        <v>0.33333333333333948</v>
      </c>
      <c r="I16" s="28">
        <f t="shared" si="78"/>
        <v>0.24999999999999645</v>
      </c>
      <c r="J16" s="28">
        <f t="shared" si="78"/>
        <v>-0.19999999999999774</v>
      </c>
      <c r="K16" s="28">
        <f t="shared" si="78"/>
        <v>0</v>
      </c>
      <c r="L16" s="56">
        <v>0</v>
      </c>
      <c r="M16" s="56">
        <v>0</v>
      </c>
      <c r="N16" s="56">
        <v>0</v>
      </c>
      <c r="O16" s="56">
        <v>0</v>
      </c>
      <c r="P16" s="56">
        <v>0</v>
      </c>
      <c r="Q16" s="56">
        <v>0</v>
      </c>
      <c r="R16" s="56">
        <v>0</v>
      </c>
      <c r="S16" s="56">
        <v>0</v>
      </c>
      <c r="T16" s="56">
        <v>0</v>
      </c>
      <c r="U16" s="56">
        <v>0</v>
      </c>
    </row>
    <row r="17" spans="1:21" ht="15" customHeight="1" thickBot="1">
      <c r="A17" s="16" t="s">
        <v>82</v>
      </c>
      <c r="B17" s="41">
        <v>33</v>
      </c>
      <c r="C17" s="41">
        <v>32.659999999999997</v>
      </c>
      <c r="D17" s="41">
        <v>32</v>
      </c>
      <c r="E17" s="41">
        <v>33</v>
      </c>
      <c r="F17" s="41">
        <v>34</v>
      </c>
      <c r="G17" s="41">
        <v>29</v>
      </c>
      <c r="H17" s="41">
        <v>30</v>
      </c>
      <c r="I17" s="41">
        <v>30</v>
      </c>
      <c r="J17" s="41">
        <v>34</v>
      </c>
      <c r="K17" s="35">
        <f>J17</f>
        <v>34</v>
      </c>
      <c r="L17" s="35">
        <f>K17*(1+L18)</f>
        <v>34</v>
      </c>
      <c r="M17" s="35">
        <f t="shared" ref="M17" si="79">L17*(1+M18)</f>
        <v>34</v>
      </c>
      <c r="N17" s="35">
        <f t="shared" ref="N17" si="80">M17*(1+N18)</f>
        <v>34</v>
      </c>
      <c r="O17" s="35">
        <f t="shared" ref="O17" si="81">N17*(1+O18)</f>
        <v>34</v>
      </c>
      <c r="P17" s="35">
        <f t="shared" ref="P17" si="82">O17*(1+P18)</f>
        <v>34</v>
      </c>
      <c r="Q17" s="35">
        <f t="shared" ref="Q17" si="83">P17*(1+Q18)</f>
        <v>34</v>
      </c>
      <c r="R17" s="35">
        <f t="shared" ref="R17" si="84">Q17*(1+R18)</f>
        <v>34</v>
      </c>
      <c r="S17" s="35">
        <f t="shared" ref="S17" si="85">R17*(1+S18)</f>
        <v>34</v>
      </c>
      <c r="T17" s="35">
        <f t="shared" ref="T17" si="86">S17*(1+T18)</f>
        <v>34</v>
      </c>
      <c r="U17" s="35">
        <f t="shared" ref="U17" si="87">T17*(1+U18)</f>
        <v>34</v>
      </c>
    </row>
    <row r="18" spans="1:21" ht="15" customHeight="1" thickBot="1">
      <c r="A18" s="24" t="s">
        <v>5</v>
      </c>
      <c r="B18" s="28"/>
      <c r="C18" s="28"/>
      <c r="D18" s="28">
        <f t="shared" ref="D18:K18" si="88">D17/C17-1</f>
        <v>-2.0208205756276687E-2</v>
      </c>
      <c r="E18" s="28">
        <f t="shared" si="88"/>
        <v>3.125E-2</v>
      </c>
      <c r="F18" s="28">
        <f t="shared" si="88"/>
        <v>3.0303030303030276E-2</v>
      </c>
      <c r="G18" s="28">
        <f t="shared" si="88"/>
        <v>-0.1470588235294118</v>
      </c>
      <c r="H18" s="28">
        <f t="shared" si="88"/>
        <v>3.4482758620689724E-2</v>
      </c>
      <c r="I18" s="28">
        <f t="shared" si="88"/>
        <v>0</v>
      </c>
      <c r="J18" s="28">
        <f t="shared" si="88"/>
        <v>0.1333333333333333</v>
      </c>
      <c r="K18" s="28">
        <f t="shared" si="88"/>
        <v>0</v>
      </c>
      <c r="L18" s="56">
        <v>0</v>
      </c>
      <c r="M18" s="56">
        <v>0</v>
      </c>
      <c r="N18" s="56">
        <v>0</v>
      </c>
      <c r="O18" s="56">
        <v>0</v>
      </c>
      <c r="P18" s="56">
        <v>0</v>
      </c>
      <c r="Q18" s="56">
        <v>0</v>
      </c>
      <c r="R18" s="56">
        <v>0</v>
      </c>
      <c r="S18" s="56">
        <v>0</v>
      </c>
      <c r="T18" s="56">
        <v>0</v>
      </c>
      <c r="U18" s="56">
        <v>0</v>
      </c>
    </row>
    <row r="19" spans="1:21" ht="15" customHeight="1" thickBot="1">
      <c r="A19" s="24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</row>
    <row r="20" spans="1:21" ht="15" customHeight="1" thickBot="1">
      <c r="A20" s="90" t="s">
        <v>92</v>
      </c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</row>
    <row r="21" spans="1:21" ht="15" customHeight="1" thickBot="1">
      <c r="A21" s="16" t="s">
        <v>87</v>
      </c>
      <c r="B21" s="26">
        <f t="shared" ref="B21:O21" si="89">B13*B5</f>
        <v>4146.0245952904506</v>
      </c>
      <c r="C21" s="26">
        <f t="shared" si="89"/>
        <v>4227.9651770356595</v>
      </c>
      <c r="D21" s="26">
        <f t="shared" si="89"/>
        <v>3920.7172752548636</v>
      </c>
      <c r="E21" s="26">
        <f t="shared" si="89"/>
        <v>3979.1331768949613</v>
      </c>
      <c r="F21" s="26">
        <f t="shared" si="89"/>
        <v>6069.5846518559229</v>
      </c>
      <c r="G21" s="26">
        <f t="shared" si="89"/>
        <v>5937.2563047404874</v>
      </c>
      <c r="H21" s="26">
        <f t="shared" si="89"/>
        <v>5282.0732770717659</v>
      </c>
      <c r="I21" s="26">
        <f t="shared" si="89"/>
        <v>5114.4737067340566</v>
      </c>
      <c r="J21" s="26">
        <f t="shared" si="89"/>
        <v>5928.0952305599003</v>
      </c>
      <c r="K21" s="26">
        <f t="shared" si="89"/>
        <v>7943.6372681576768</v>
      </c>
      <c r="L21" s="26">
        <f t="shared" si="89"/>
        <v>8340.8191315655604</v>
      </c>
      <c r="M21" s="26">
        <f t="shared" si="89"/>
        <v>8757.8600881438379</v>
      </c>
      <c r="N21" s="26">
        <f t="shared" si="89"/>
        <v>9195.7530925510309</v>
      </c>
      <c r="O21" s="26">
        <f t="shared" si="89"/>
        <v>9655.5407471785838</v>
      </c>
      <c r="P21" s="26">
        <f t="shared" ref="P21:U21" si="90">P13*P5</f>
        <v>10138.317784537514</v>
      </c>
      <c r="Q21" s="26">
        <f t="shared" si="90"/>
        <v>10645.233673764389</v>
      </c>
      <c r="R21" s="26">
        <f t="shared" si="90"/>
        <v>11177.49535745261</v>
      </c>
      <c r="S21" s="26">
        <f t="shared" si="90"/>
        <v>11736.37012532524</v>
      </c>
      <c r="T21" s="26">
        <f t="shared" si="90"/>
        <v>12323.188631591502</v>
      </c>
      <c r="U21" s="26">
        <f t="shared" si="90"/>
        <v>12939.348063171077</v>
      </c>
    </row>
    <row r="22" spans="1:21" ht="15" customHeight="1" thickBot="1">
      <c r="A22" s="16" t="s">
        <v>88</v>
      </c>
      <c r="B22" s="26">
        <f t="shared" ref="B22:O22" si="91">B15*B7</f>
        <v>0</v>
      </c>
      <c r="C22" s="26">
        <f t="shared" si="91"/>
        <v>29.192380136946408</v>
      </c>
      <c r="D22" s="26">
        <f t="shared" si="91"/>
        <v>25.002113132476101</v>
      </c>
      <c r="E22" s="26">
        <f t="shared" si="91"/>
        <v>23.020770318181789</v>
      </c>
      <c r="F22" s="26">
        <f t="shared" si="91"/>
        <v>19.793008974959953</v>
      </c>
      <c r="G22" s="26">
        <f t="shared" si="91"/>
        <v>21.722291789387004</v>
      </c>
      <c r="H22" s="26">
        <f t="shared" si="91"/>
        <v>31.21613149038464</v>
      </c>
      <c r="I22" s="26">
        <f t="shared" si="91"/>
        <v>46.891944995629288</v>
      </c>
      <c r="J22" s="26">
        <f t="shared" si="91"/>
        <v>55.510921981352034</v>
      </c>
      <c r="K22" s="26">
        <f t="shared" si="91"/>
        <v>70.790929829545505</v>
      </c>
      <c r="L22" s="26">
        <f t="shared" si="91"/>
        <v>74.330476321022772</v>
      </c>
      <c r="M22" s="26">
        <f t="shared" si="91"/>
        <v>78.047000137073923</v>
      </c>
      <c r="N22" s="26">
        <f t="shared" si="91"/>
        <v>81.949350143927617</v>
      </c>
      <c r="O22" s="26">
        <f t="shared" si="91"/>
        <v>86.046817651124002</v>
      </c>
      <c r="P22" s="26">
        <f t="shared" ref="P22:U22" si="92">P15*P7</f>
        <v>90.34915853368021</v>
      </c>
      <c r="Q22" s="26">
        <f t="shared" si="92"/>
        <v>94.866616460364241</v>
      </c>
      <c r="R22" s="26">
        <f t="shared" si="92"/>
        <v>99.609947283382454</v>
      </c>
      <c r="S22" s="26">
        <f t="shared" si="92"/>
        <v>104.59044464755158</v>
      </c>
      <c r="T22" s="26">
        <f t="shared" si="92"/>
        <v>109.81996687992917</v>
      </c>
      <c r="U22" s="26">
        <f t="shared" si="92"/>
        <v>115.31096522392562</v>
      </c>
    </row>
    <row r="23" spans="1:21" ht="15" customHeight="1" thickBot="1">
      <c r="A23" s="16" t="s">
        <v>89</v>
      </c>
      <c r="B23" s="26">
        <f t="shared" ref="B23:O23" si="93">B17*B9</f>
        <v>271.28855769230768</v>
      </c>
      <c r="C23" s="26">
        <f t="shared" si="93"/>
        <v>389.90868833333332</v>
      </c>
      <c r="D23" s="26">
        <f t="shared" si="93"/>
        <v>371.42933333333332</v>
      </c>
      <c r="E23" s="26">
        <f t="shared" si="93"/>
        <v>308.16499999999996</v>
      </c>
      <c r="F23" s="26">
        <f t="shared" si="93"/>
        <v>519.30183333333343</v>
      </c>
      <c r="G23" s="26">
        <f t="shared" si="93"/>
        <v>541.46625000000006</v>
      </c>
      <c r="H23" s="26">
        <f t="shared" si="93"/>
        <v>735.22500000000002</v>
      </c>
      <c r="I23" s="26">
        <f t="shared" si="93"/>
        <v>633</v>
      </c>
      <c r="J23" s="26">
        <f t="shared" si="93"/>
        <v>749.19</v>
      </c>
      <c r="K23" s="26">
        <f t="shared" si="93"/>
        <v>963.90000000000009</v>
      </c>
      <c r="L23" s="26">
        <f t="shared" si="93"/>
        <v>1012.095</v>
      </c>
      <c r="M23" s="26">
        <f t="shared" si="93"/>
        <v>1062.6997500000002</v>
      </c>
      <c r="N23" s="26">
        <f t="shared" si="93"/>
        <v>1115.8347375000003</v>
      </c>
      <c r="O23" s="26">
        <f t="shared" si="93"/>
        <v>1171.6264743750003</v>
      </c>
      <c r="P23" s="26">
        <f t="shared" ref="P23:U23" si="94">P17*P9</f>
        <v>1230.2077980937504</v>
      </c>
      <c r="Q23" s="26">
        <f t="shared" si="94"/>
        <v>1291.7181879984378</v>
      </c>
      <c r="R23" s="26">
        <f t="shared" si="94"/>
        <v>1356.3040973983598</v>
      </c>
      <c r="S23" s="26">
        <f t="shared" si="94"/>
        <v>1424.1193022682778</v>
      </c>
      <c r="T23" s="26">
        <f t="shared" si="94"/>
        <v>1495.3252673816917</v>
      </c>
      <c r="U23" s="26">
        <f t="shared" si="94"/>
        <v>1570.0915307507764</v>
      </c>
    </row>
    <row r="24" spans="1:21" ht="15" customHeight="1" thickBot="1">
      <c r="A24" s="16" t="s">
        <v>2</v>
      </c>
      <c r="B24" s="26">
        <f>B27-SUM(B21:B23)</f>
        <v>147.68684701724123</v>
      </c>
      <c r="C24" s="26">
        <f t="shared" ref="C24:K24" si="95">C27-SUM(C21:C23)</f>
        <v>46.93375449406085</v>
      </c>
      <c r="D24" s="26">
        <f t="shared" si="95"/>
        <v>68.851278279326834</v>
      </c>
      <c r="E24" s="26">
        <f t="shared" si="95"/>
        <v>53.681052786856526</v>
      </c>
      <c r="F24" s="26">
        <f t="shared" si="95"/>
        <v>216.32050583578348</v>
      </c>
      <c r="G24" s="26">
        <f t="shared" si="95"/>
        <v>209.55515347012533</v>
      </c>
      <c r="H24" s="26">
        <f t="shared" si="95"/>
        <v>267.48559143784951</v>
      </c>
      <c r="I24" s="26">
        <f t="shared" si="95"/>
        <v>445.63434827031415</v>
      </c>
      <c r="J24" s="26">
        <f t="shared" si="95"/>
        <v>652.20384745874799</v>
      </c>
      <c r="K24" s="26">
        <f t="shared" si="95"/>
        <v>957.67180201277733</v>
      </c>
      <c r="L24" s="26">
        <f>L25*SUM(L21:L23)</f>
        <v>754.17956863092672</v>
      </c>
      <c r="M24" s="26">
        <f t="shared" ref="M24:O24" si="96">M25*SUM(M21:M23)</f>
        <v>791.88854706247298</v>
      </c>
      <c r="N24" s="26">
        <f t="shared" si="96"/>
        <v>831.48297441559669</v>
      </c>
      <c r="O24" s="26">
        <f t="shared" si="96"/>
        <v>873.05712313637662</v>
      </c>
      <c r="P24" s="26">
        <f t="shared" ref="P24" si="97">P25*SUM(P21:P23)</f>
        <v>916.70997929319549</v>
      </c>
      <c r="Q24" s="26">
        <f t="shared" ref="Q24" si="98">Q25*SUM(Q21:Q23)</f>
        <v>962.54547825785528</v>
      </c>
      <c r="R24" s="26">
        <f t="shared" ref="R24" si="99">R25*SUM(R21:R23)</f>
        <v>1010.6727521707481</v>
      </c>
      <c r="S24" s="26">
        <f t="shared" ref="S24" si="100">S25*SUM(S21:S23)</f>
        <v>1061.2063897792857</v>
      </c>
      <c r="T24" s="26">
        <f t="shared" ref="T24" si="101">T25*SUM(T21:T23)</f>
        <v>1114.2667092682498</v>
      </c>
      <c r="U24" s="26">
        <f t="shared" ref="U24" si="102">U25*SUM(U21:U23)</f>
        <v>1169.9800447316625</v>
      </c>
    </row>
    <row r="25" spans="1:21" s="48" customFormat="1" ht="15" customHeight="1" thickBot="1">
      <c r="A25" s="24" t="s">
        <v>90</v>
      </c>
      <c r="B25" s="30">
        <f>B24/SUM(B21:B23)</f>
        <v>3.3433637576162502E-2</v>
      </c>
      <c r="C25" s="30">
        <f t="shared" ref="C25:K25" si="103">C24/SUM(C21:C23)</f>
        <v>1.009965255809497E-2</v>
      </c>
      <c r="D25" s="30">
        <f t="shared" si="103"/>
        <v>1.5948322079551845E-2</v>
      </c>
      <c r="E25" s="30">
        <f t="shared" si="103"/>
        <v>1.2454079023911735E-2</v>
      </c>
      <c r="F25" s="30">
        <f t="shared" si="103"/>
        <v>3.2732788150311262E-2</v>
      </c>
      <c r="G25" s="30">
        <f t="shared" si="103"/>
        <v>3.2237048143250062E-2</v>
      </c>
      <c r="H25" s="30">
        <f t="shared" si="103"/>
        <v>4.4223353598894052E-2</v>
      </c>
      <c r="I25" s="30">
        <f t="shared" si="103"/>
        <v>7.6908219994243382E-2</v>
      </c>
      <c r="J25" s="30">
        <f t="shared" si="103"/>
        <v>9.6869685741573758E-2</v>
      </c>
      <c r="K25" s="30">
        <f t="shared" si="103"/>
        <v>0.10666482455246734</v>
      </c>
      <c r="L25" s="56">
        <v>0.08</v>
      </c>
      <c r="M25" s="56">
        <v>0.08</v>
      </c>
      <c r="N25" s="56">
        <v>0.08</v>
      </c>
      <c r="O25" s="56">
        <v>0.08</v>
      </c>
      <c r="P25" s="56">
        <v>0.08</v>
      </c>
      <c r="Q25" s="56">
        <v>0.08</v>
      </c>
      <c r="R25" s="56">
        <v>0.08</v>
      </c>
      <c r="S25" s="56">
        <v>0.08</v>
      </c>
      <c r="T25" s="56">
        <v>0.08</v>
      </c>
      <c r="U25" s="56">
        <v>0.08</v>
      </c>
    </row>
    <row r="26" spans="1:21" ht="15" customHeight="1">
      <c r="A26" s="91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</row>
    <row r="27" spans="1:21" ht="15" customHeight="1">
      <c r="A27" s="93" t="s">
        <v>12</v>
      </c>
      <c r="B27" s="94">
        <v>4565</v>
      </c>
      <c r="C27" s="94">
        <v>4694</v>
      </c>
      <c r="D27" s="94">
        <v>4386</v>
      </c>
      <c r="E27" s="94">
        <v>4364</v>
      </c>
      <c r="F27" s="94">
        <v>6825</v>
      </c>
      <c r="G27" s="94">
        <v>6710</v>
      </c>
      <c r="H27" s="94">
        <v>6316</v>
      </c>
      <c r="I27" s="94">
        <v>6240</v>
      </c>
      <c r="J27" s="94">
        <v>7385</v>
      </c>
      <c r="K27" s="55">
        <v>9936</v>
      </c>
      <c r="L27" s="94">
        <f>SUM(L21:L24)</f>
        <v>10181.42417651751</v>
      </c>
      <c r="M27" s="94">
        <f t="shared" ref="M27:O27" si="104">SUM(M21:M24)</f>
        <v>10690.495385343385</v>
      </c>
      <c r="N27" s="94">
        <f t="shared" si="104"/>
        <v>11225.020154610555</v>
      </c>
      <c r="O27" s="94">
        <f t="shared" si="104"/>
        <v>11786.271162341085</v>
      </c>
      <c r="P27" s="94">
        <f t="shared" ref="P27:U27" si="105">SUM(P21:P24)</f>
        <v>12375.584720458139</v>
      </c>
      <c r="Q27" s="94">
        <f t="shared" si="105"/>
        <v>12994.363956481046</v>
      </c>
      <c r="R27" s="94">
        <f t="shared" si="105"/>
        <v>13644.082154305101</v>
      </c>
      <c r="S27" s="94">
        <f t="shared" si="105"/>
        <v>14326.286262020356</v>
      </c>
      <c r="T27" s="94">
        <f t="shared" si="105"/>
        <v>15042.600575121372</v>
      </c>
      <c r="U27" s="94">
        <f t="shared" si="105"/>
        <v>15794.730603877442</v>
      </c>
    </row>
    <row r="28" spans="1:21" ht="15" customHeight="1" thickBot="1">
      <c r="A28" s="24" t="s">
        <v>5</v>
      </c>
      <c r="B28" s="28"/>
      <c r="C28" s="28">
        <f t="shared" ref="C28:O28" si="106">C27/B27-1</f>
        <v>2.8258488499452339E-2</v>
      </c>
      <c r="D28" s="28">
        <f t="shared" si="106"/>
        <v>-6.5615679590967146E-2</v>
      </c>
      <c r="E28" s="28">
        <f t="shared" si="106"/>
        <v>-5.015959872321063E-3</v>
      </c>
      <c r="F28" s="28">
        <f t="shared" si="106"/>
        <v>0.56393217231897341</v>
      </c>
      <c r="G28" s="28">
        <f t="shared" si="106"/>
        <v>-1.6849816849816901E-2</v>
      </c>
      <c r="H28" s="28">
        <f t="shared" si="106"/>
        <v>-5.8718330849478417E-2</v>
      </c>
      <c r="I28" s="28">
        <f t="shared" si="106"/>
        <v>-1.2032932235592098E-2</v>
      </c>
      <c r="J28" s="28">
        <f t="shared" si="106"/>
        <v>0.18349358974358965</v>
      </c>
      <c r="K28" s="28">
        <f t="shared" si="106"/>
        <v>0.34542992552471219</v>
      </c>
      <c r="L28" s="28">
        <f t="shared" si="106"/>
        <v>2.4700500857237406E-2</v>
      </c>
      <c r="M28" s="28">
        <f t="shared" si="106"/>
        <v>5.0000000000000044E-2</v>
      </c>
      <c r="N28" s="28">
        <f t="shared" si="106"/>
        <v>5.0000000000000044E-2</v>
      </c>
      <c r="O28" s="28">
        <f t="shared" si="106"/>
        <v>5.0000000000000266E-2</v>
      </c>
      <c r="P28" s="28">
        <f t="shared" ref="P28" si="107">P27/O27-1</f>
        <v>5.0000000000000044E-2</v>
      </c>
      <c r="Q28" s="28">
        <f t="shared" ref="Q28" si="108">Q27/P27-1</f>
        <v>5.0000000000000044E-2</v>
      </c>
      <c r="R28" s="28">
        <f t="shared" ref="R28" si="109">R27/Q27-1</f>
        <v>5.0000000000000266E-2</v>
      </c>
      <c r="S28" s="28">
        <f t="shared" ref="S28" si="110">S27/R27-1</f>
        <v>5.0000000000000044E-2</v>
      </c>
      <c r="T28" s="28">
        <f t="shared" ref="T28" si="111">T27/S27-1</f>
        <v>4.9999999999999822E-2</v>
      </c>
      <c r="U28" s="28">
        <f t="shared" ref="U28" si="112">U27/T27-1</f>
        <v>5.0000000000000044E-2</v>
      </c>
    </row>
    <row r="29" spans="1:21" ht="15" customHeight="1">
      <c r="A29" s="91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</row>
    <row r="30" spans="1:21" ht="16.5" customHeight="1">
      <c r="A30" s="7" t="s">
        <v>93</v>
      </c>
      <c r="B30" s="8">
        <f>B$2</f>
        <v>2017</v>
      </c>
      <c r="C30" s="8">
        <f t="shared" ref="C30:U30" si="113">C$2</f>
        <v>2018</v>
      </c>
      <c r="D30" s="8">
        <f t="shared" si="113"/>
        <v>2019</v>
      </c>
      <c r="E30" s="8">
        <f t="shared" si="113"/>
        <v>2020</v>
      </c>
      <c r="F30" s="8">
        <f t="shared" si="113"/>
        <v>2021</v>
      </c>
      <c r="G30" s="8">
        <f t="shared" si="113"/>
        <v>2022</v>
      </c>
      <c r="H30" s="8">
        <f t="shared" si="113"/>
        <v>2023</v>
      </c>
      <c r="I30" s="8">
        <f t="shared" si="113"/>
        <v>2024</v>
      </c>
      <c r="J30" s="8">
        <f t="shared" si="113"/>
        <v>2025</v>
      </c>
      <c r="K30" s="8">
        <f t="shared" si="113"/>
        <v>2026</v>
      </c>
      <c r="L30" s="8">
        <f t="shared" si="113"/>
        <v>2027</v>
      </c>
      <c r="M30" s="8">
        <f t="shared" si="113"/>
        <v>2028</v>
      </c>
      <c r="N30" s="8">
        <f t="shared" si="113"/>
        <v>2029</v>
      </c>
      <c r="O30" s="8">
        <f t="shared" si="113"/>
        <v>2030</v>
      </c>
      <c r="P30" s="8">
        <f t="shared" si="113"/>
        <v>2031</v>
      </c>
      <c r="Q30" s="8">
        <f t="shared" si="113"/>
        <v>2032</v>
      </c>
      <c r="R30" s="8">
        <f t="shared" si="113"/>
        <v>2033</v>
      </c>
      <c r="S30" s="8">
        <f t="shared" si="113"/>
        <v>2034</v>
      </c>
      <c r="T30" s="8">
        <f t="shared" si="113"/>
        <v>2035</v>
      </c>
      <c r="U30" s="8">
        <f t="shared" si="113"/>
        <v>2036</v>
      </c>
    </row>
    <row r="31" spans="1:21" ht="13.5" customHeight="1" thickBot="1">
      <c r="A31" s="90" t="s">
        <v>91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</row>
    <row r="32" spans="1:21" ht="15" customHeight="1" thickBot="1">
      <c r="A32" s="16" t="s">
        <v>94</v>
      </c>
      <c r="B32" s="10">
        <v>1235</v>
      </c>
      <c r="C32" s="10">
        <v>1253</v>
      </c>
      <c r="D32" s="10">
        <v>1183</v>
      </c>
      <c r="E32" s="10">
        <v>976</v>
      </c>
      <c r="F32" s="10">
        <v>1055</v>
      </c>
      <c r="G32" s="10">
        <v>1162</v>
      </c>
      <c r="H32" s="10">
        <v>1200</v>
      </c>
      <c r="I32" s="10">
        <v>1177</v>
      </c>
      <c r="J32" s="10">
        <v>1073</v>
      </c>
      <c r="K32" s="35">
        <v>1023</v>
      </c>
      <c r="L32" s="35">
        <f>K32*(1+L33)</f>
        <v>1023</v>
      </c>
      <c r="M32" s="35">
        <f t="shared" ref="M32" si="114">L32*(1+M33)</f>
        <v>1023</v>
      </c>
      <c r="N32" s="35">
        <f t="shared" ref="N32" si="115">M32*(1+N33)</f>
        <v>1023</v>
      </c>
      <c r="O32" s="35">
        <f t="shared" ref="O32" si="116">N32*(1+O33)</f>
        <v>1023</v>
      </c>
      <c r="P32" s="35">
        <f t="shared" ref="P32" si="117">O32*(1+P33)</f>
        <v>1023</v>
      </c>
      <c r="Q32" s="35">
        <f t="shared" ref="Q32" si="118">P32*(1+Q33)</f>
        <v>1023</v>
      </c>
      <c r="R32" s="35">
        <f t="shared" ref="R32" si="119">Q32*(1+R33)</f>
        <v>1023</v>
      </c>
      <c r="S32" s="35">
        <f t="shared" ref="S32" si="120">R32*(1+S33)</f>
        <v>1023</v>
      </c>
      <c r="T32" s="35">
        <f t="shared" ref="T32" si="121">S32*(1+T33)</f>
        <v>1023</v>
      </c>
      <c r="U32" s="35">
        <f t="shared" ref="U32" si="122">T32*(1+U33)</f>
        <v>1023</v>
      </c>
    </row>
    <row r="33" spans="1:21" ht="15" customHeight="1" thickBot="1">
      <c r="A33" s="24" t="s">
        <v>5</v>
      </c>
      <c r="B33" s="28"/>
      <c r="C33" s="28">
        <f t="shared" ref="C33" si="123">C32/B32-1</f>
        <v>1.4574898785425061E-2</v>
      </c>
      <c r="D33" s="28">
        <f t="shared" ref="D33" si="124">D32/C32-1</f>
        <v>-5.5865921787709549E-2</v>
      </c>
      <c r="E33" s="28">
        <f t="shared" ref="E33" si="125">E32/D32-1</f>
        <v>-0.17497886728655965</v>
      </c>
      <c r="F33" s="28">
        <f t="shared" ref="F33" si="126">F32/E32-1</f>
        <v>8.0942622950819665E-2</v>
      </c>
      <c r="G33" s="28">
        <f t="shared" ref="G33" si="127">G32/F32-1</f>
        <v>0.10142180094786735</v>
      </c>
      <c r="H33" s="28">
        <f t="shared" ref="H33" si="128">H32/G32-1</f>
        <v>3.2702237521514688E-2</v>
      </c>
      <c r="I33" s="28">
        <f t="shared" ref="I33" si="129">I32/H32-1</f>
        <v>-1.9166666666666665E-2</v>
      </c>
      <c r="J33" s="28">
        <f t="shared" ref="J33" si="130">J32/I32-1</f>
        <v>-8.8360237892948224E-2</v>
      </c>
      <c r="K33" s="28">
        <f t="shared" ref="K33" si="131">K32/J32-1</f>
        <v>-4.6598322460391417E-2</v>
      </c>
      <c r="L33" s="56">
        <v>0</v>
      </c>
      <c r="M33" s="56">
        <v>0</v>
      </c>
      <c r="N33" s="56">
        <v>0</v>
      </c>
      <c r="O33" s="56">
        <v>0</v>
      </c>
      <c r="P33" s="56">
        <v>0</v>
      </c>
      <c r="Q33" s="56">
        <v>0</v>
      </c>
      <c r="R33" s="56">
        <v>0</v>
      </c>
      <c r="S33" s="56">
        <v>0</v>
      </c>
      <c r="T33" s="56">
        <v>0</v>
      </c>
      <c r="U33" s="56">
        <v>0</v>
      </c>
    </row>
    <row r="34" spans="1:21" ht="15" customHeight="1" thickBot="1">
      <c r="A34" s="16" t="s">
        <v>95</v>
      </c>
      <c r="B34" s="80">
        <v>0</v>
      </c>
      <c r="C34" s="80">
        <v>0</v>
      </c>
      <c r="D34" s="80">
        <v>0</v>
      </c>
      <c r="E34" s="80">
        <v>0</v>
      </c>
      <c r="F34" s="80">
        <v>0</v>
      </c>
      <c r="G34" s="80">
        <v>0</v>
      </c>
      <c r="H34" s="80">
        <v>0</v>
      </c>
      <c r="I34" s="80">
        <v>0</v>
      </c>
      <c r="J34" s="80">
        <v>0</v>
      </c>
      <c r="K34" s="80">
        <v>0</v>
      </c>
      <c r="L34" s="80">
        <v>0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</row>
    <row r="35" spans="1:21" ht="15" customHeight="1" thickBot="1">
      <c r="A35" s="24" t="s">
        <v>5</v>
      </c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56">
        <v>0</v>
      </c>
      <c r="M35" s="56">
        <v>0</v>
      </c>
      <c r="N35" s="56">
        <v>0</v>
      </c>
      <c r="O35" s="56">
        <v>0</v>
      </c>
      <c r="P35" s="56">
        <v>0</v>
      </c>
      <c r="Q35" s="56">
        <v>0</v>
      </c>
      <c r="R35" s="56">
        <v>0</v>
      </c>
      <c r="S35" s="56">
        <v>0</v>
      </c>
      <c r="T35" s="56">
        <v>0</v>
      </c>
      <c r="U35" s="56">
        <v>0</v>
      </c>
    </row>
    <row r="36" spans="1:21" ht="15" customHeight="1" thickBot="1">
      <c r="A36" s="16" t="s">
        <v>82</v>
      </c>
      <c r="B36" s="41">
        <v>27</v>
      </c>
      <c r="C36" s="41">
        <v>28</v>
      </c>
      <c r="D36" s="41">
        <v>29</v>
      </c>
      <c r="E36" s="41">
        <v>19</v>
      </c>
      <c r="F36" s="41">
        <v>21</v>
      </c>
      <c r="G36" s="41">
        <v>23</v>
      </c>
      <c r="H36" s="41">
        <v>22</v>
      </c>
      <c r="I36" s="41">
        <v>20</v>
      </c>
      <c r="J36" s="41">
        <v>21</v>
      </c>
      <c r="K36" s="35">
        <v>22</v>
      </c>
      <c r="L36" s="35">
        <f>K36*(1+L37)</f>
        <v>22</v>
      </c>
      <c r="M36" s="35">
        <f t="shared" ref="M36" si="132">L36*(1+M37)</f>
        <v>22</v>
      </c>
      <c r="N36" s="35">
        <f t="shared" ref="N36" si="133">M36*(1+N37)</f>
        <v>22</v>
      </c>
      <c r="O36" s="35">
        <f t="shared" ref="O36" si="134">N36*(1+O37)</f>
        <v>22</v>
      </c>
      <c r="P36" s="35">
        <f t="shared" ref="P36" si="135">O36*(1+P37)</f>
        <v>22</v>
      </c>
      <c r="Q36" s="35">
        <f t="shared" ref="Q36" si="136">P36*(1+Q37)</f>
        <v>22</v>
      </c>
      <c r="R36" s="35">
        <f t="shared" ref="R36" si="137">Q36*(1+R37)</f>
        <v>22</v>
      </c>
      <c r="S36" s="35">
        <f t="shared" ref="S36" si="138">R36*(1+S37)</f>
        <v>22</v>
      </c>
      <c r="T36" s="35">
        <f t="shared" ref="T36" si="139">S36*(1+T37)</f>
        <v>22</v>
      </c>
      <c r="U36" s="35">
        <f t="shared" ref="U36" si="140">T36*(1+U37)</f>
        <v>22</v>
      </c>
    </row>
    <row r="37" spans="1:21" ht="15" customHeight="1" thickBot="1">
      <c r="A37" s="24" t="s">
        <v>5</v>
      </c>
      <c r="B37" s="28"/>
      <c r="C37" s="28"/>
      <c r="D37" s="28">
        <f t="shared" ref="D37" si="141">D36/C36-1</f>
        <v>3.5714285714285809E-2</v>
      </c>
      <c r="E37" s="28">
        <f t="shared" ref="E37" si="142">E36/D36-1</f>
        <v>-0.34482758620689657</v>
      </c>
      <c r="F37" s="28">
        <f t="shared" ref="F37" si="143">F36/E36-1</f>
        <v>0.10526315789473695</v>
      </c>
      <c r="G37" s="28">
        <f t="shared" ref="G37" si="144">G36/F36-1</f>
        <v>9.5238095238095344E-2</v>
      </c>
      <c r="H37" s="28">
        <f t="shared" ref="H37" si="145">H36/G36-1</f>
        <v>-4.3478260869565188E-2</v>
      </c>
      <c r="I37" s="28">
        <f t="shared" ref="I37" si="146">I36/H36-1</f>
        <v>-9.0909090909090939E-2</v>
      </c>
      <c r="J37" s="28">
        <f t="shared" ref="J37" si="147">J36/I36-1</f>
        <v>5.0000000000000044E-2</v>
      </c>
      <c r="K37" s="28">
        <f t="shared" ref="K37" si="148">K36/J36-1</f>
        <v>4.7619047619047672E-2</v>
      </c>
      <c r="L37" s="56">
        <v>0</v>
      </c>
      <c r="M37" s="56">
        <v>0</v>
      </c>
      <c r="N37" s="56">
        <v>0</v>
      </c>
      <c r="O37" s="56">
        <v>0</v>
      </c>
      <c r="P37" s="56">
        <v>0</v>
      </c>
      <c r="Q37" s="56">
        <v>0</v>
      </c>
      <c r="R37" s="56">
        <v>0</v>
      </c>
      <c r="S37" s="56">
        <v>0</v>
      </c>
      <c r="T37" s="56">
        <v>0</v>
      </c>
      <c r="U37" s="56">
        <v>0</v>
      </c>
    </row>
    <row r="38" spans="1:21" ht="15" customHeight="1" thickBot="1">
      <c r="A38" s="24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</row>
    <row r="39" spans="1:21" ht="15" customHeight="1" thickBot="1">
      <c r="A39" s="90" t="s">
        <v>92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ht="15" customHeight="1" thickBot="1">
      <c r="A40" s="16" t="s">
        <v>87</v>
      </c>
      <c r="B40" s="26">
        <f>B32*B$5</f>
        <v>3457.3533931017596</v>
      </c>
      <c r="C40" s="26">
        <f t="shared" ref="C40:O40" si="149">C32*C$5</f>
        <v>3712.4319319030701</v>
      </c>
      <c r="D40" s="26">
        <f t="shared" si="149"/>
        <v>3220.9781504350722</v>
      </c>
      <c r="E40" s="26">
        <f t="shared" si="149"/>
        <v>2734.9535074996356</v>
      </c>
      <c r="F40" s="26">
        <f t="shared" si="149"/>
        <v>4459.200423194985</v>
      </c>
      <c r="G40" s="26">
        <f t="shared" si="149"/>
        <v>4686.8830340410641</v>
      </c>
      <c r="H40" s="26">
        <f t="shared" si="149"/>
        <v>4636.7870757030869</v>
      </c>
      <c r="I40" s="26">
        <f t="shared" si="149"/>
        <v>4766.2197567901694</v>
      </c>
      <c r="J40" s="26">
        <f t="shared" si="149"/>
        <v>4892.9586018390564</v>
      </c>
      <c r="K40" s="26">
        <f t="shared" si="149"/>
        <v>6251.0314810194641</v>
      </c>
      <c r="L40" s="26">
        <f t="shared" si="149"/>
        <v>6563.5830550704377</v>
      </c>
      <c r="M40" s="26">
        <f t="shared" si="149"/>
        <v>6891.7622078239592</v>
      </c>
      <c r="N40" s="26">
        <f t="shared" si="149"/>
        <v>7236.3503182151571</v>
      </c>
      <c r="O40" s="26">
        <f t="shared" si="149"/>
        <v>7598.1678341259158</v>
      </c>
      <c r="P40" s="26">
        <f t="shared" ref="P40:U40" si="150">P32*P$5</f>
        <v>7978.076225832212</v>
      </c>
      <c r="Q40" s="26">
        <f t="shared" si="150"/>
        <v>8376.9800371238216</v>
      </c>
      <c r="R40" s="26">
        <f t="shared" si="150"/>
        <v>8795.829038980015</v>
      </c>
      <c r="S40" s="26">
        <f t="shared" si="150"/>
        <v>9235.6204909290154</v>
      </c>
      <c r="T40" s="26">
        <f t="shared" si="150"/>
        <v>9697.401515475467</v>
      </c>
      <c r="U40" s="26">
        <f t="shared" si="150"/>
        <v>10182.27159124924</v>
      </c>
    </row>
    <row r="41" spans="1:21" ht="15" customHeight="1" thickBot="1">
      <c r="A41" s="16" t="s">
        <v>88</v>
      </c>
      <c r="B41" s="26">
        <f>B34*B$7</f>
        <v>0</v>
      </c>
      <c r="C41" s="26">
        <f t="shared" ref="C41:O41" si="151">C34*C$7</f>
        <v>0</v>
      </c>
      <c r="D41" s="26">
        <f t="shared" si="151"/>
        <v>0</v>
      </c>
      <c r="E41" s="26">
        <f t="shared" si="151"/>
        <v>0</v>
      </c>
      <c r="F41" s="26">
        <f t="shared" si="151"/>
        <v>0</v>
      </c>
      <c r="G41" s="26">
        <f t="shared" si="151"/>
        <v>0</v>
      </c>
      <c r="H41" s="26">
        <f t="shared" si="151"/>
        <v>0</v>
      </c>
      <c r="I41" s="26">
        <f t="shared" si="151"/>
        <v>0</v>
      </c>
      <c r="J41" s="26">
        <f t="shared" si="151"/>
        <v>0</v>
      </c>
      <c r="K41" s="26">
        <f t="shared" si="151"/>
        <v>0</v>
      </c>
      <c r="L41" s="26">
        <f t="shared" si="151"/>
        <v>0</v>
      </c>
      <c r="M41" s="26">
        <f t="shared" si="151"/>
        <v>0</v>
      </c>
      <c r="N41" s="26">
        <f t="shared" si="151"/>
        <v>0</v>
      </c>
      <c r="O41" s="26">
        <f t="shared" si="151"/>
        <v>0</v>
      </c>
      <c r="P41" s="26">
        <f t="shared" ref="P41:U41" si="152">P34*P$7</f>
        <v>0</v>
      </c>
      <c r="Q41" s="26">
        <f t="shared" si="152"/>
        <v>0</v>
      </c>
      <c r="R41" s="26">
        <f t="shared" si="152"/>
        <v>0</v>
      </c>
      <c r="S41" s="26">
        <f t="shared" si="152"/>
        <v>0</v>
      </c>
      <c r="T41" s="26">
        <f t="shared" si="152"/>
        <v>0</v>
      </c>
      <c r="U41" s="26">
        <f t="shared" si="152"/>
        <v>0</v>
      </c>
    </row>
    <row r="42" spans="1:21" ht="15" customHeight="1" thickBot="1">
      <c r="A42" s="16" t="s">
        <v>89</v>
      </c>
      <c r="B42" s="26">
        <f>B36*B$9</f>
        <v>221.9633653846154</v>
      </c>
      <c r="C42" s="26">
        <f t="shared" ref="C42:O42" si="153">C36*C$9</f>
        <v>334.27566666666667</v>
      </c>
      <c r="D42" s="26">
        <f t="shared" si="153"/>
        <v>336.6078333333333</v>
      </c>
      <c r="E42" s="26">
        <f t="shared" si="153"/>
        <v>177.42833333333331</v>
      </c>
      <c r="F42" s="26">
        <f t="shared" si="153"/>
        <v>320.74525000000006</v>
      </c>
      <c r="G42" s="26">
        <f t="shared" si="153"/>
        <v>429.43875000000003</v>
      </c>
      <c r="H42" s="26">
        <f t="shared" si="153"/>
        <v>539.16499999999996</v>
      </c>
      <c r="I42" s="26">
        <f t="shared" si="153"/>
        <v>422</v>
      </c>
      <c r="J42" s="26">
        <f t="shared" si="153"/>
        <v>462.73500000000001</v>
      </c>
      <c r="K42" s="26">
        <f t="shared" si="153"/>
        <v>623.70000000000005</v>
      </c>
      <c r="L42" s="26">
        <f t="shared" si="153"/>
        <v>654.88499999999999</v>
      </c>
      <c r="M42" s="26">
        <f t="shared" si="153"/>
        <v>687.62925000000007</v>
      </c>
      <c r="N42" s="26">
        <f t="shared" si="153"/>
        <v>722.01071250000018</v>
      </c>
      <c r="O42" s="26">
        <f t="shared" si="153"/>
        <v>758.1112481250002</v>
      </c>
      <c r="P42" s="26">
        <f t="shared" ref="P42:U42" si="154">P36*P$9</f>
        <v>796.01681053125026</v>
      </c>
      <c r="Q42" s="26">
        <f t="shared" si="154"/>
        <v>835.81765105781278</v>
      </c>
      <c r="R42" s="26">
        <f t="shared" si="154"/>
        <v>877.60853361070349</v>
      </c>
      <c r="S42" s="26">
        <f t="shared" si="154"/>
        <v>921.48896029123864</v>
      </c>
      <c r="T42" s="26">
        <f t="shared" si="154"/>
        <v>967.56340830580052</v>
      </c>
      <c r="U42" s="26">
        <f t="shared" si="154"/>
        <v>1015.9415787210905</v>
      </c>
    </row>
    <row r="43" spans="1:21" ht="15" customHeight="1" thickBot="1">
      <c r="A43" s="16" t="s">
        <v>2</v>
      </c>
      <c r="B43" s="26">
        <f>B46-SUM(B40:B42)</f>
        <v>14.683241513625035</v>
      </c>
      <c r="C43" s="26">
        <f t="shared" ref="C43" si="155">C46-SUM(C40:C42)</f>
        <v>-391.70759856973655</v>
      </c>
      <c r="D43" s="26">
        <f t="shared" ref="D43" si="156">D46-SUM(D40:D42)</f>
        <v>-169.58598376840564</v>
      </c>
      <c r="E43" s="26">
        <f t="shared" ref="E43" si="157">E46-SUM(E40:E42)</f>
        <v>42.618159167031081</v>
      </c>
      <c r="F43" s="26">
        <f t="shared" ref="F43" si="158">F46-SUM(F40:F42)</f>
        <v>136.05432680501508</v>
      </c>
      <c r="G43" s="26">
        <f t="shared" ref="G43" si="159">G46-SUM(G40:G42)</f>
        <v>-398.32178404106435</v>
      </c>
      <c r="H43" s="26">
        <f t="shared" ref="H43" si="160">H46-SUM(H40:H42)</f>
        <v>-234.95207570308685</v>
      </c>
      <c r="I43" s="26">
        <f t="shared" ref="I43" si="161">I46-SUM(I40:I42)</f>
        <v>-17.219756790169413</v>
      </c>
      <c r="J43" s="26">
        <f t="shared" ref="J43" si="162">J46-SUM(J40:J42)</f>
        <v>316.3063981609439</v>
      </c>
      <c r="K43" s="26">
        <f t="shared" ref="K43" si="163">K46-SUM(K40:K42)</f>
        <v>208.40692050462258</v>
      </c>
      <c r="L43" s="26">
        <f>L44*SUM(L40:L42)</f>
        <v>180.46170137676097</v>
      </c>
      <c r="M43" s="26">
        <f t="shared" ref="M43" si="164">M44*SUM(M40:M42)</f>
        <v>189.48478644559898</v>
      </c>
      <c r="N43" s="26">
        <f t="shared" ref="N43" si="165">N44*SUM(N40:N42)</f>
        <v>198.95902576787896</v>
      </c>
      <c r="O43" s="26">
        <f t="shared" ref="O43" si="166">O44*SUM(O40:O42)</f>
        <v>208.90697705627292</v>
      </c>
      <c r="P43" s="26">
        <f t="shared" ref="P43" si="167">P44*SUM(P40:P42)</f>
        <v>219.35232590908655</v>
      </c>
      <c r="Q43" s="26">
        <f t="shared" ref="Q43" si="168">Q44*SUM(Q40:Q42)</f>
        <v>230.31994220454087</v>
      </c>
      <c r="R43" s="26">
        <f t="shared" ref="R43" si="169">R44*SUM(R40:R42)</f>
        <v>241.83593931476798</v>
      </c>
      <c r="S43" s="26">
        <f t="shared" ref="S43" si="170">S44*SUM(S40:S42)</f>
        <v>253.92773628050637</v>
      </c>
      <c r="T43" s="26">
        <f t="shared" ref="T43" si="171">T44*SUM(T40:T42)</f>
        <v>266.62412309453174</v>
      </c>
      <c r="U43" s="26">
        <f t="shared" ref="U43" si="172">U44*SUM(U40:U42)</f>
        <v>279.95532924925828</v>
      </c>
    </row>
    <row r="44" spans="1:21" s="48" customFormat="1" ht="15" customHeight="1" thickBot="1">
      <c r="A44" s="24" t="s">
        <v>90</v>
      </c>
      <c r="B44" s="30">
        <f>B43/SUM(B40:B42)</f>
        <v>3.9907522177203185E-3</v>
      </c>
      <c r="C44" s="30">
        <f t="shared" ref="C44" si="173">C43/SUM(C40:C42)</f>
        <v>-9.6796615280081322E-2</v>
      </c>
      <c r="D44" s="30">
        <f t="shared" ref="D44" si="174">D43/SUM(D40:D42)</f>
        <v>-4.76688362676677E-2</v>
      </c>
      <c r="E44" s="30">
        <f t="shared" ref="E44" si="175">E43/SUM(E40:E42)</f>
        <v>1.4633438022962636E-2</v>
      </c>
      <c r="F44" s="30">
        <f t="shared" ref="F44" si="176">F43/SUM(F40:F42)</f>
        <v>2.8463571786596142E-2</v>
      </c>
      <c r="G44" s="30">
        <f t="shared" ref="G44" si="177">G43/SUM(G40:G42)</f>
        <v>-7.7853153271852021E-2</v>
      </c>
      <c r="H44" s="30">
        <f t="shared" ref="H44" si="178">H43/SUM(H40:H42)</f>
        <v>-4.5393016060947901E-2</v>
      </c>
      <c r="I44" s="30">
        <f t="shared" ref="I44" si="179">I43/SUM(I40:I42)</f>
        <v>-3.3190106813869571E-3</v>
      </c>
      <c r="J44" s="30">
        <f t="shared" ref="J44" si="180">J43/SUM(J40:J42)</f>
        <v>5.9059838309706431E-2</v>
      </c>
      <c r="K44" s="30">
        <f t="shared" ref="K44" si="181">K43/SUM(K40:K42)</f>
        <v>3.0314917910614542E-2</v>
      </c>
      <c r="L44" s="56">
        <v>2.5000000000000001E-2</v>
      </c>
      <c r="M44" s="56">
        <v>2.5000000000000001E-2</v>
      </c>
      <c r="N44" s="56">
        <v>2.5000000000000001E-2</v>
      </c>
      <c r="O44" s="56">
        <v>2.5000000000000001E-2</v>
      </c>
      <c r="P44" s="56">
        <v>2.5000000000000001E-2</v>
      </c>
      <c r="Q44" s="56">
        <v>2.5000000000000001E-2</v>
      </c>
      <c r="R44" s="56">
        <v>2.5000000000000001E-2</v>
      </c>
      <c r="S44" s="56">
        <v>2.5000000000000001E-2</v>
      </c>
      <c r="T44" s="56">
        <v>2.5000000000000001E-2</v>
      </c>
      <c r="U44" s="56">
        <v>2.5000000000000001E-2</v>
      </c>
    </row>
    <row r="45" spans="1:21" ht="15" customHeight="1">
      <c r="A45" s="91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</row>
    <row r="46" spans="1:21" ht="15" customHeight="1">
      <c r="A46" s="93" t="s">
        <v>12</v>
      </c>
      <c r="B46" s="94">
        <v>3694</v>
      </c>
      <c r="C46" s="94">
        <v>3655</v>
      </c>
      <c r="D46" s="94">
        <v>3388</v>
      </c>
      <c r="E46" s="94">
        <v>2955</v>
      </c>
      <c r="F46" s="94">
        <v>4916</v>
      </c>
      <c r="G46" s="94">
        <v>4718</v>
      </c>
      <c r="H46" s="94">
        <v>4941</v>
      </c>
      <c r="I46" s="94">
        <v>5171</v>
      </c>
      <c r="J46" s="94">
        <v>5672</v>
      </c>
      <c r="K46" s="55">
        <v>7083.1384015240865</v>
      </c>
      <c r="L46" s="94">
        <f>SUM(L40:L43)</f>
        <v>7398.929756447199</v>
      </c>
      <c r="M46" s="94">
        <f t="shared" ref="M46:O46" si="182">SUM(M40:M43)</f>
        <v>7768.8762442695579</v>
      </c>
      <c r="N46" s="94">
        <f t="shared" si="182"/>
        <v>8157.3200564830368</v>
      </c>
      <c r="O46" s="94">
        <f t="shared" si="182"/>
        <v>8565.1860593071888</v>
      </c>
      <c r="P46" s="94">
        <f t="shared" ref="P46:U46" si="183">SUM(P40:P43)</f>
        <v>8993.4453622725487</v>
      </c>
      <c r="Q46" s="94">
        <f t="shared" si="183"/>
        <v>9443.1176303861739</v>
      </c>
      <c r="R46" s="94">
        <f t="shared" si="183"/>
        <v>9915.2735119054869</v>
      </c>
      <c r="S46" s="94">
        <f t="shared" si="183"/>
        <v>10411.03718750076</v>
      </c>
      <c r="T46" s="94">
        <f t="shared" si="183"/>
        <v>10931.589046875801</v>
      </c>
      <c r="U46" s="94">
        <f t="shared" si="183"/>
        <v>11478.16849921959</v>
      </c>
    </row>
    <row r="47" spans="1:21" ht="15" customHeight="1" thickBot="1">
      <c r="A47" s="24" t="s">
        <v>5</v>
      </c>
      <c r="B47" s="28"/>
      <c r="C47" s="28">
        <f t="shared" ref="C47" si="184">C46/B46-1</f>
        <v>-1.0557661072008617E-2</v>
      </c>
      <c r="D47" s="28">
        <f t="shared" ref="D47" si="185">D46/C46-1</f>
        <v>-7.3050615595075197E-2</v>
      </c>
      <c r="E47" s="28">
        <f t="shared" ref="E47" si="186">E46/D46-1</f>
        <v>-0.12780401416765053</v>
      </c>
      <c r="F47" s="28">
        <f t="shared" ref="F47" si="187">F46/E46-1</f>
        <v>0.66362098138747894</v>
      </c>
      <c r="G47" s="28">
        <f t="shared" ref="G47" si="188">G46/F46-1</f>
        <v>-4.0276647681041444E-2</v>
      </c>
      <c r="H47" s="28">
        <f t="shared" ref="H47" si="189">H46/G46-1</f>
        <v>4.7265790589232637E-2</v>
      </c>
      <c r="I47" s="28">
        <f t="shared" ref="I47" si="190">I46/H46-1</f>
        <v>4.6549281521959029E-2</v>
      </c>
      <c r="J47" s="28">
        <f t="shared" ref="J47" si="191">J46/I46-1</f>
        <v>9.6886482305163391E-2</v>
      </c>
      <c r="K47" s="28">
        <f t="shared" ref="K47" si="192">K46/J46-1</f>
        <v>0.24879026825177819</v>
      </c>
      <c r="L47" s="28">
        <f t="shared" ref="L47" si="193">L46/K46-1</f>
        <v>4.4583535859635814E-2</v>
      </c>
      <c r="M47" s="28">
        <f t="shared" ref="M47" si="194">M46/L46-1</f>
        <v>4.9999999999999822E-2</v>
      </c>
      <c r="N47" s="28">
        <f t="shared" ref="N47" si="195">N46/M46-1</f>
        <v>5.0000000000000044E-2</v>
      </c>
      <c r="O47" s="28">
        <f t="shared" ref="O47" si="196">O46/N46-1</f>
        <v>5.0000000000000044E-2</v>
      </c>
      <c r="P47" s="28">
        <f t="shared" ref="P47" si="197">P46/O46-1</f>
        <v>5.0000000000000044E-2</v>
      </c>
      <c r="Q47" s="28">
        <f t="shared" ref="Q47" si="198">Q46/P46-1</f>
        <v>4.9999999999999822E-2</v>
      </c>
      <c r="R47" s="28">
        <f t="shared" ref="R47" si="199">R46/Q46-1</f>
        <v>5.0000000000000488E-2</v>
      </c>
      <c r="S47" s="28">
        <f t="shared" ref="S47" si="200">S46/R46-1</f>
        <v>4.9999999999999822E-2</v>
      </c>
      <c r="T47" s="28">
        <f t="shared" ref="T47" si="201">T46/S46-1</f>
        <v>5.0000000000000266E-2</v>
      </c>
      <c r="U47" s="28">
        <f t="shared" ref="U47" si="202">U46/T46-1</f>
        <v>4.9999999999999822E-2</v>
      </c>
    </row>
    <row r="48" spans="1:21" ht="15" customHeight="1">
      <c r="F48" s="29"/>
      <c r="P48" s="1"/>
    </row>
    <row r="49" spans="1:21" ht="16.5" customHeight="1">
      <c r="A49" s="7" t="s">
        <v>96</v>
      </c>
      <c r="B49" s="8">
        <f>B$2</f>
        <v>2017</v>
      </c>
      <c r="C49" s="8">
        <f t="shared" ref="C49:U49" si="203">C$2</f>
        <v>2018</v>
      </c>
      <c r="D49" s="8">
        <f t="shared" si="203"/>
        <v>2019</v>
      </c>
      <c r="E49" s="8">
        <f t="shared" si="203"/>
        <v>2020</v>
      </c>
      <c r="F49" s="8">
        <f t="shared" si="203"/>
        <v>2021</v>
      </c>
      <c r="G49" s="8">
        <f t="shared" si="203"/>
        <v>2022</v>
      </c>
      <c r="H49" s="8">
        <f t="shared" si="203"/>
        <v>2023</v>
      </c>
      <c r="I49" s="8">
        <f t="shared" si="203"/>
        <v>2024</v>
      </c>
      <c r="J49" s="8">
        <f t="shared" si="203"/>
        <v>2025</v>
      </c>
      <c r="K49" s="8">
        <f t="shared" si="203"/>
        <v>2026</v>
      </c>
      <c r="L49" s="8">
        <f t="shared" si="203"/>
        <v>2027</v>
      </c>
      <c r="M49" s="8">
        <f t="shared" si="203"/>
        <v>2028</v>
      </c>
      <c r="N49" s="8">
        <f t="shared" si="203"/>
        <v>2029</v>
      </c>
      <c r="O49" s="8">
        <f t="shared" si="203"/>
        <v>2030</v>
      </c>
      <c r="P49" s="8">
        <f t="shared" si="203"/>
        <v>2031</v>
      </c>
      <c r="Q49" s="8">
        <f t="shared" si="203"/>
        <v>2032</v>
      </c>
      <c r="R49" s="8">
        <f t="shared" si="203"/>
        <v>2033</v>
      </c>
      <c r="S49" s="8">
        <f t="shared" si="203"/>
        <v>2034</v>
      </c>
      <c r="T49" s="8">
        <f t="shared" si="203"/>
        <v>2035</v>
      </c>
      <c r="U49" s="8">
        <f t="shared" si="203"/>
        <v>2036</v>
      </c>
    </row>
    <row r="50" spans="1:21" ht="13.5" customHeight="1" thickBot="1">
      <c r="A50" s="90" t="s">
        <v>91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</row>
    <row r="51" spans="1:21" ht="15" customHeight="1" thickBot="1">
      <c r="A51" s="16" t="s">
        <v>97</v>
      </c>
      <c r="B51" s="10">
        <v>981</v>
      </c>
      <c r="C51" s="10">
        <v>1130</v>
      </c>
      <c r="D51" s="10">
        <v>667</v>
      </c>
      <c r="E51" s="10">
        <v>804</v>
      </c>
      <c r="F51" s="10">
        <v>1316</v>
      </c>
      <c r="G51" s="10">
        <v>1582</v>
      </c>
      <c r="H51" s="10">
        <v>1525</v>
      </c>
      <c r="I51" s="10">
        <v>1632</v>
      </c>
      <c r="J51" s="10">
        <v>1205</v>
      </c>
      <c r="K51" s="35">
        <v>675</v>
      </c>
      <c r="L51" s="35">
        <f>K51*(1+L52)</f>
        <v>675</v>
      </c>
      <c r="M51" s="35">
        <f t="shared" ref="M51" si="204">L51*(1+M52)</f>
        <v>675</v>
      </c>
      <c r="N51" s="35">
        <f t="shared" ref="N51" si="205">M51*(1+N52)</f>
        <v>675</v>
      </c>
      <c r="O51" s="35">
        <f t="shared" ref="O51" si="206">N51*(1+O52)</f>
        <v>675</v>
      </c>
      <c r="P51" s="35">
        <f t="shared" ref="P51" si="207">O51*(1+P52)</f>
        <v>675</v>
      </c>
      <c r="Q51" s="35">
        <f t="shared" ref="Q51" si="208">P51*(1+Q52)</f>
        <v>675</v>
      </c>
      <c r="R51" s="35">
        <f t="shared" ref="R51" si="209">Q51*(1+R52)</f>
        <v>675</v>
      </c>
      <c r="S51" s="35">
        <f t="shared" ref="S51" si="210">R51*(1+S52)</f>
        <v>675</v>
      </c>
      <c r="T51" s="35">
        <f t="shared" ref="T51" si="211">S51*(1+T52)</f>
        <v>675</v>
      </c>
      <c r="U51" s="35">
        <f t="shared" ref="U51" si="212">T51*(1+U52)</f>
        <v>675</v>
      </c>
    </row>
    <row r="52" spans="1:21" ht="15" customHeight="1" thickBot="1">
      <c r="A52" s="24" t="s">
        <v>5</v>
      </c>
      <c r="B52" s="28"/>
      <c r="C52" s="28">
        <f t="shared" ref="C52" si="213">C51/B51-1</f>
        <v>0.15188583078491336</v>
      </c>
      <c r="D52" s="28">
        <f t="shared" ref="D52" si="214">D51/C51-1</f>
        <v>-0.4097345132743363</v>
      </c>
      <c r="E52" s="28">
        <f t="shared" ref="E52" si="215">E51/D51-1</f>
        <v>0.20539730134932532</v>
      </c>
      <c r="F52" s="28">
        <f t="shared" ref="F52" si="216">F51/E51-1</f>
        <v>0.63681592039800994</v>
      </c>
      <c r="G52" s="28">
        <f t="shared" ref="G52" si="217">G51/F51-1</f>
        <v>0.2021276595744681</v>
      </c>
      <c r="H52" s="28">
        <f t="shared" ref="H52" si="218">H51/G51-1</f>
        <v>-3.6030341340075878E-2</v>
      </c>
      <c r="I52" s="28">
        <f t="shared" ref="I52" si="219">I51/H51-1</f>
        <v>7.016393442622948E-2</v>
      </c>
      <c r="J52" s="28">
        <f t="shared" ref="J52" si="220">J51/I51-1</f>
        <v>-0.26164215686274506</v>
      </c>
      <c r="K52" s="28">
        <f t="shared" ref="K52" si="221">K51/J51-1</f>
        <v>-0.43983402489626555</v>
      </c>
      <c r="L52" s="56">
        <v>0</v>
      </c>
      <c r="M52" s="56">
        <v>0</v>
      </c>
      <c r="N52" s="56">
        <v>0</v>
      </c>
      <c r="O52" s="56">
        <v>0</v>
      </c>
      <c r="P52" s="56">
        <v>0</v>
      </c>
      <c r="Q52" s="56">
        <v>0</v>
      </c>
      <c r="R52" s="56">
        <v>0</v>
      </c>
      <c r="S52" s="56">
        <v>0</v>
      </c>
      <c r="T52" s="56">
        <v>0</v>
      </c>
      <c r="U52" s="56">
        <v>0</v>
      </c>
    </row>
    <row r="53" spans="1:21" ht="15" customHeight="1" thickBot="1">
      <c r="A53" s="16" t="s">
        <v>98</v>
      </c>
      <c r="B53" s="80">
        <v>1.54</v>
      </c>
      <c r="C53" s="80">
        <v>2.3660000000000001</v>
      </c>
      <c r="D53" s="80">
        <v>0.97300000000000009</v>
      </c>
      <c r="E53" s="80">
        <v>0.84200000000000008</v>
      </c>
      <c r="F53" s="80">
        <v>1.3490000000000002</v>
      </c>
      <c r="G53" s="80">
        <v>1.8109999999999999</v>
      </c>
      <c r="H53" s="80">
        <v>1.6970000000000001</v>
      </c>
      <c r="I53" s="80">
        <v>1.8169999999999999</v>
      </c>
      <c r="J53" s="80">
        <v>1.05</v>
      </c>
      <c r="K53" s="80">
        <v>0.63400000000000001</v>
      </c>
      <c r="L53" s="80">
        <f>K53*(1+L54)</f>
        <v>0.63400000000000001</v>
      </c>
      <c r="M53" s="80">
        <f t="shared" ref="M53:O53" si="222">L53*(1+M54)</f>
        <v>0.63400000000000001</v>
      </c>
      <c r="N53" s="80">
        <f t="shared" si="222"/>
        <v>0.63400000000000001</v>
      </c>
      <c r="O53" s="80">
        <f t="shared" si="222"/>
        <v>0.63400000000000001</v>
      </c>
      <c r="P53" s="80">
        <f t="shared" ref="P53" si="223">O53*(1+P54)</f>
        <v>0.63400000000000001</v>
      </c>
      <c r="Q53" s="80">
        <f t="shared" ref="Q53" si="224">P53*(1+Q54)</f>
        <v>0.63400000000000001</v>
      </c>
      <c r="R53" s="80">
        <f t="shared" ref="R53" si="225">Q53*(1+R54)</f>
        <v>0.63400000000000001</v>
      </c>
      <c r="S53" s="80">
        <f t="shared" ref="S53" si="226">R53*(1+S54)</f>
        <v>0.63400000000000001</v>
      </c>
      <c r="T53" s="80">
        <f t="shared" ref="T53" si="227">S53*(1+T54)</f>
        <v>0.63400000000000001</v>
      </c>
      <c r="U53" s="80">
        <f t="shared" ref="U53" si="228">T53*(1+U54)</f>
        <v>0.63400000000000001</v>
      </c>
    </row>
    <row r="54" spans="1:21" ht="15" customHeight="1" thickBot="1">
      <c r="A54" s="24" t="s">
        <v>5</v>
      </c>
      <c r="B54" s="28"/>
      <c r="C54" s="28">
        <f t="shared" ref="C54" si="229">C53/B53-1</f>
        <v>0.53636363636363638</v>
      </c>
      <c r="D54" s="28">
        <f t="shared" ref="D54" si="230">D53/C53-1</f>
        <v>-0.58875739644970415</v>
      </c>
      <c r="E54" s="28">
        <f t="shared" ref="E54" si="231">E53/D53-1</f>
        <v>-0.13463514902363827</v>
      </c>
      <c r="F54" s="28">
        <f t="shared" ref="F54" si="232">F53/E53-1</f>
        <v>0.60213776722090273</v>
      </c>
      <c r="G54" s="28">
        <f t="shared" ref="G54" si="233">G53/F53-1</f>
        <v>0.34247590808005901</v>
      </c>
      <c r="H54" s="28">
        <f t="shared" ref="H54" si="234">H53/G53-1</f>
        <v>-6.2948647156267246E-2</v>
      </c>
      <c r="I54" s="28">
        <f t="shared" ref="I54" si="235">I53/H53-1</f>
        <v>7.0713022981732321E-2</v>
      </c>
      <c r="J54" s="28">
        <f t="shared" ref="J54" si="236">J53/I53-1</f>
        <v>-0.42212438084755088</v>
      </c>
      <c r="K54" s="28">
        <f t="shared" ref="K54" si="237">K53/J53-1</f>
        <v>-0.3961904761904762</v>
      </c>
      <c r="L54" s="56">
        <v>0</v>
      </c>
      <c r="M54" s="56">
        <v>0</v>
      </c>
      <c r="N54" s="56">
        <v>0</v>
      </c>
      <c r="O54" s="56">
        <v>0</v>
      </c>
      <c r="P54" s="56">
        <v>0</v>
      </c>
      <c r="Q54" s="56">
        <v>0</v>
      </c>
      <c r="R54" s="56">
        <v>0</v>
      </c>
      <c r="S54" s="56">
        <v>0</v>
      </c>
      <c r="T54" s="56">
        <v>0</v>
      </c>
      <c r="U54" s="56">
        <v>0</v>
      </c>
    </row>
    <row r="55" spans="1:21" ht="15" customHeight="1" thickBot="1">
      <c r="A55" s="16" t="s">
        <v>82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35">
        <f>K55*(1+L56)</f>
        <v>0</v>
      </c>
      <c r="M55" s="35">
        <f t="shared" ref="M55" si="238">L55*(1+M56)</f>
        <v>0</v>
      </c>
      <c r="N55" s="35">
        <f t="shared" ref="N55" si="239">M55*(1+N56)</f>
        <v>0</v>
      </c>
      <c r="O55" s="35">
        <f t="shared" ref="O55" si="240">N55*(1+O56)</f>
        <v>0</v>
      </c>
      <c r="P55" s="35">
        <f t="shared" ref="P55" si="241">O55*(1+P56)</f>
        <v>0</v>
      </c>
      <c r="Q55" s="35">
        <f t="shared" ref="Q55" si="242">P55*(1+Q56)</f>
        <v>0</v>
      </c>
      <c r="R55" s="35">
        <f t="shared" ref="R55" si="243">Q55*(1+R56)</f>
        <v>0</v>
      </c>
      <c r="S55" s="35">
        <f t="shared" ref="S55" si="244">R55*(1+S56)</f>
        <v>0</v>
      </c>
      <c r="T55" s="35">
        <f t="shared" ref="T55" si="245">S55*(1+T56)</f>
        <v>0</v>
      </c>
      <c r="U55" s="35">
        <f t="shared" ref="U55" si="246">T55*(1+U56)</f>
        <v>0</v>
      </c>
    </row>
    <row r="56" spans="1:21" ht="15" customHeight="1" thickBot="1">
      <c r="A56" s="24" t="s">
        <v>5</v>
      </c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56">
        <v>0</v>
      </c>
      <c r="M56" s="56">
        <v>0</v>
      </c>
      <c r="N56" s="56">
        <v>0</v>
      </c>
      <c r="O56" s="56">
        <v>0</v>
      </c>
      <c r="P56" s="56">
        <v>0</v>
      </c>
      <c r="Q56" s="56">
        <v>0</v>
      </c>
      <c r="R56" s="56">
        <v>0</v>
      </c>
      <c r="S56" s="56">
        <v>0</v>
      </c>
      <c r="T56" s="56">
        <v>0</v>
      </c>
      <c r="U56" s="56">
        <v>0</v>
      </c>
    </row>
    <row r="57" spans="1:21" ht="15" customHeight="1" thickBot="1">
      <c r="A57" s="24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ht="15" customHeight="1" thickBot="1">
      <c r="A58" s="90" t="s">
        <v>92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</row>
    <row r="59" spans="1:21" ht="15" customHeight="1" thickBot="1">
      <c r="A59" s="16" t="s">
        <v>87</v>
      </c>
      <c r="B59" s="26">
        <f>B51*B$5</f>
        <v>2746.2863794597783</v>
      </c>
      <c r="C59" s="26">
        <f t="shared" ref="C59:O59" si="247">C51*C$5</f>
        <v>3348.003258619688</v>
      </c>
      <c r="D59" s="26">
        <f t="shared" si="247"/>
        <v>1816.0544601354125</v>
      </c>
      <c r="E59" s="26">
        <f t="shared" si="247"/>
        <v>2252.9739959320768</v>
      </c>
      <c r="F59" s="26">
        <f t="shared" si="247"/>
        <v>5562.3770207816115</v>
      </c>
      <c r="G59" s="26">
        <f t="shared" si="247"/>
        <v>6380.937142730605</v>
      </c>
      <c r="H59" s="26">
        <f t="shared" si="247"/>
        <v>5892.5835753726724</v>
      </c>
      <c r="I59" s="26">
        <f t="shared" si="247"/>
        <v>6608.7261198653841</v>
      </c>
      <c r="J59" s="26">
        <f t="shared" si="247"/>
        <v>5494.8882714035999</v>
      </c>
      <c r="K59" s="26">
        <f t="shared" si="247"/>
        <v>4124.5808892357172</v>
      </c>
      <c r="L59" s="26">
        <f t="shared" si="247"/>
        <v>4330.8099336975029</v>
      </c>
      <c r="M59" s="26">
        <f t="shared" si="247"/>
        <v>4547.3504303823775</v>
      </c>
      <c r="N59" s="26">
        <f t="shared" si="247"/>
        <v>4774.7179519014971</v>
      </c>
      <c r="O59" s="26">
        <f t="shared" si="247"/>
        <v>5013.4538494965718</v>
      </c>
      <c r="P59" s="26">
        <f t="shared" ref="P59:U59" si="248">P51*P$5</f>
        <v>5264.1265419714009</v>
      </c>
      <c r="Q59" s="26">
        <f t="shared" si="248"/>
        <v>5527.3328690699709</v>
      </c>
      <c r="R59" s="26">
        <f t="shared" si="248"/>
        <v>5803.6995125234698</v>
      </c>
      <c r="S59" s="26">
        <f t="shared" si="248"/>
        <v>6093.8844881496434</v>
      </c>
      <c r="T59" s="26">
        <f t="shared" si="248"/>
        <v>6398.578712557126</v>
      </c>
      <c r="U59" s="26">
        <f t="shared" si="248"/>
        <v>6718.5076481849828</v>
      </c>
    </row>
    <row r="60" spans="1:21" ht="15" customHeight="1" thickBot="1">
      <c r="A60" s="16" t="s">
        <v>88</v>
      </c>
      <c r="B60" s="26">
        <f t="shared" ref="B60:O60" si="249">B53*B$7</f>
        <v>1936.2656923076929</v>
      </c>
      <c r="C60" s="26">
        <f t="shared" si="249"/>
        <v>3003.0074523484845</v>
      </c>
      <c r="D60" s="26">
        <f t="shared" si="249"/>
        <v>1351.503115438846</v>
      </c>
      <c r="E60" s="26">
        <f t="shared" si="249"/>
        <v>1491.0375852237762</v>
      </c>
      <c r="F60" s="26">
        <f t="shared" si="249"/>
        <v>2427.3426461109962</v>
      </c>
      <c r="G60" s="26">
        <f t="shared" si="249"/>
        <v>3278.2558692150005</v>
      </c>
      <c r="H60" s="26">
        <f t="shared" si="249"/>
        <v>3310.8609461989181</v>
      </c>
      <c r="I60" s="26">
        <f t="shared" si="249"/>
        <v>4260.1332028529287</v>
      </c>
      <c r="J60" s="26">
        <f t="shared" si="249"/>
        <v>3642.9042550262238</v>
      </c>
      <c r="K60" s="26">
        <f t="shared" si="249"/>
        <v>2805.0905944957381</v>
      </c>
      <c r="L60" s="26">
        <f t="shared" si="249"/>
        <v>2945.3451242205251</v>
      </c>
      <c r="M60" s="26">
        <f t="shared" si="249"/>
        <v>3092.6123804315512</v>
      </c>
      <c r="N60" s="26">
        <f t="shared" si="249"/>
        <v>3247.242999453129</v>
      </c>
      <c r="O60" s="26">
        <f t="shared" si="249"/>
        <v>3409.6051494257858</v>
      </c>
      <c r="P60" s="26">
        <f t="shared" ref="P60:U60" si="250">P53*P$7</f>
        <v>3580.0854068970752</v>
      </c>
      <c r="Q60" s="26">
        <f t="shared" si="250"/>
        <v>3759.0896772419296</v>
      </c>
      <c r="R60" s="26">
        <f t="shared" si="250"/>
        <v>3947.0441611040264</v>
      </c>
      <c r="S60" s="26">
        <f t="shared" si="250"/>
        <v>4144.396369159228</v>
      </c>
      <c r="T60" s="26">
        <f t="shared" si="250"/>
        <v>4351.6161876171891</v>
      </c>
      <c r="U60" s="26">
        <f t="shared" si="250"/>
        <v>4569.1969969980491</v>
      </c>
    </row>
    <row r="61" spans="1:21" ht="15" customHeight="1" thickBot="1">
      <c r="A61" s="16" t="s">
        <v>89</v>
      </c>
      <c r="B61" s="26">
        <f>B55*B$9</f>
        <v>0</v>
      </c>
      <c r="C61" s="26">
        <f t="shared" ref="C61:O61" si="251">C55*C$9</f>
        <v>0</v>
      </c>
      <c r="D61" s="26">
        <f t="shared" si="251"/>
        <v>0</v>
      </c>
      <c r="E61" s="26">
        <f t="shared" si="251"/>
        <v>0</v>
      </c>
      <c r="F61" s="26">
        <f t="shared" si="251"/>
        <v>0</v>
      </c>
      <c r="G61" s="26">
        <f t="shared" si="251"/>
        <v>0</v>
      </c>
      <c r="H61" s="26">
        <f t="shared" si="251"/>
        <v>0</v>
      </c>
      <c r="I61" s="26">
        <f t="shared" si="251"/>
        <v>0</v>
      </c>
      <c r="J61" s="26">
        <f t="shared" si="251"/>
        <v>0</v>
      </c>
      <c r="K61" s="26">
        <f t="shared" si="251"/>
        <v>0</v>
      </c>
      <c r="L61" s="26">
        <f t="shared" si="251"/>
        <v>0</v>
      </c>
      <c r="M61" s="26">
        <f t="shared" si="251"/>
        <v>0</v>
      </c>
      <c r="N61" s="26">
        <f t="shared" si="251"/>
        <v>0</v>
      </c>
      <c r="O61" s="26">
        <f t="shared" si="251"/>
        <v>0</v>
      </c>
      <c r="P61" s="26">
        <f t="shared" ref="P61:U61" si="252">P55*P$9</f>
        <v>0</v>
      </c>
      <c r="Q61" s="26">
        <f t="shared" si="252"/>
        <v>0</v>
      </c>
      <c r="R61" s="26">
        <f t="shared" si="252"/>
        <v>0</v>
      </c>
      <c r="S61" s="26">
        <f t="shared" si="252"/>
        <v>0</v>
      </c>
      <c r="T61" s="26">
        <f t="shared" si="252"/>
        <v>0</v>
      </c>
      <c r="U61" s="26">
        <f t="shared" si="252"/>
        <v>0</v>
      </c>
    </row>
    <row r="62" spans="1:21" ht="15" customHeight="1" thickBot="1">
      <c r="A62" s="16" t="s">
        <v>2</v>
      </c>
      <c r="B62" s="26">
        <f>B65-SUM(B59:B61)</f>
        <v>-237.55207176747172</v>
      </c>
      <c r="C62" s="26">
        <f t="shared" ref="C62" si="253">C65-SUM(C59:C61)</f>
        <v>-792.01071096817213</v>
      </c>
      <c r="D62" s="26">
        <f t="shared" ref="D62" si="254">D65-SUM(D59:D61)</f>
        <v>-241.55757557425841</v>
      </c>
      <c r="E62" s="26">
        <f t="shared" ref="E62" si="255">E65-SUM(E59:E61)</f>
        <v>-130.01158115585304</v>
      </c>
      <c r="F62" s="26">
        <f t="shared" ref="F62" si="256">F65-SUM(F59:F61)</f>
        <v>-466.71966689260807</v>
      </c>
      <c r="G62" s="26">
        <f t="shared" ref="G62" si="257">G65-SUM(G59:G61)</f>
        <v>-1233.1930119456047</v>
      </c>
      <c r="H62" s="26">
        <f t="shared" ref="H62" si="258">H65-SUM(H59:H61)</f>
        <v>-766.44452157158958</v>
      </c>
      <c r="I62" s="26">
        <f t="shared" ref="I62" si="259">I65-SUM(I59:I61)</f>
        <v>-550.85932271831189</v>
      </c>
      <c r="J62" s="26">
        <f t="shared" ref="J62" si="260">J65-SUM(J59:J61)</f>
        <v>-515.79252642982465</v>
      </c>
      <c r="K62" s="26">
        <f>K65-SUM(K59:K61)</f>
        <v>-299.43440409594223</v>
      </c>
      <c r="L62" s="26">
        <f>L63*SUM(L59:L61)</f>
        <v>-291.04620231672112</v>
      </c>
      <c r="M62" s="26">
        <f t="shared" ref="M62" si="261">M63*SUM(M59:M61)</f>
        <v>-305.59851243255713</v>
      </c>
      <c r="N62" s="26">
        <f t="shared" ref="N62" si="262">N63*SUM(N59:N61)</f>
        <v>-320.87843805418504</v>
      </c>
      <c r="O62" s="26">
        <f t="shared" ref="O62" si="263">O63*SUM(O59:O61)</f>
        <v>-336.9223599568943</v>
      </c>
      <c r="P62" s="26">
        <f t="shared" ref="P62" si="264">P63*SUM(P59:P61)</f>
        <v>-353.76847795473907</v>
      </c>
      <c r="Q62" s="26">
        <f t="shared" ref="Q62" si="265">Q63*SUM(Q59:Q61)</f>
        <v>-371.45690185247599</v>
      </c>
      <c r="R62" s="26">
        <f t="shared" ref="R62" si="266">R63*SUM(R59:R61)</f>
        <v>-390.02974694509982</v>
      </c>
      <c r="S62" s="26">
        <f t="shared" ref="S62" si="267">S63*SUM(S59:S61)</f>
        <v>-409.53123429235484</v>
      </c>
      <c r="T62" s="26">
        <f t="shared" ref="T62" si="268">T63*SUM(T59:T61)</f>
        <v>-430.00779600697263</v>
      </c>
      <c r="U62" s="26">
        <f t="shared" ref="U62" si="269">U63*SUM(U59:U61)</f>
        <v>-451.5081858073213</v>
      </c>
    </row>
    <row r="63" spans="1:21" s="48" customFormat="1" ht="15" customHeight="1" thickBot="1">
      <c r="A63" s="24" t="s">
        <v>90</v>
      </c>
      <c r="B63" s="30">
        <f>B62/SUM(B59:B61)</f>
        <v>-5.0731325167689065E-2</v>
      </c>
      <c r="C63" s="30">
        <f t="shared" ref="C63" si="270">C62/SUM(C59:C61)</f>
        <v>-0.12470624708605396</v>
      </c>
      <c r="D63" s="30">
        <f t="shared" ref="D63" si="271">D62/SUM(D59:D61)</f>
        <v>-7.6259884725367794E-2</v>
      </c>
      <c r="E63" s="30">
        <f t="shared" ref="E63" si="272">E62/SUM(E59:E61)</f>
        <v>-3.4725208065653421E-2</v>
      </c>
      <c r="F63" s="30">
        <f t="shared" ref="F63" si="273">F62/SUM(F59:F61)</f>
        <v>-5.8415024099853864E-2</v>
      </c>
      <c r="G63" s="30">
        <f t="shared" ref="G63" si="274">G62/SUM(G59:G61)</f>
        <v>-0.12767039756017967</v>
      </c>
      <c r="H63" s="30">
        <f t="shared" ref="H63" si="275">H62/SUM(H59:H61)</f>
        <v>-8.3278007465047529E-2</v>
      </c>
      <c r="I63" s="30">
        <f t="shared" ref="I63" si="276">I62/SUM(I59:I61)</f>
        <v>-5.0682349118908412E-2</v>
      </c>
      <c r="J63" s="30">
        <f t="shared" ref="J63" si="277">J62/SUM(J59:J61)</f>
        <v>-5.6446075453996658E-2</v>
      </c>
      <c r="K63" s="30">
        <f t="shared" ref="K63" si="278">K62/SUM(K59:K61)</f>
        <v>-4.321047610971368E-2</v>
      </c>
      <c r="L63" s="56">
        <v>-0.04</v>
      </c>
      <c r="M63" s="56">
        <v>-0.04</v>
      </c>
      <c r="N63" s="56">
        <v>-0.04</v>
      </c>
      <c r="O63" s="56">
        <v>-0.04</v>
      </c>
      <c r="P63" s="56">
        <v>-0.04</v>
      </c>
      <c r="Q63" s="56">
        <v>-0.04</v>
      </c>
      <c r="R63" s="56">
        <v>-0.04</v>
      </c>
      <c r="S63" s="56">
        <v>-0.04</v>
      </c>
      <c r="T63" s="56">
        <v>-0.04</v>
      </c>
      <c r="U63" s="56">
        <v>-0.04</v>
      </c>
    </row>
    <row r="64" spans="1:21" ht="15" customHeight="1">
      <c r="A64" s="91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</row>
    <row r="65" spans="1:21" ht="15" customHeight="1">
      <c r="A65" s="93" t="s">
        <v>12</v>
      </c>
      <c r="B65" s="94">
        <v>4445</v>
      </c>
      <c r="C65" s="94">
        <v>5559</v>
      </c>
      <c r="D65" s="94">
        <v>2926</v>
      </c>
      <c r="E65" s="94">
        <v>3614</v>
      </c>
      <c r="F65" s="94">
        <v>7523</v>
      </c>
      <c r="G65" s="94">
        <v>8426</v>
      </c>
      <c r="H65" s="94">
        <v>8437</v>
      </c>
      <c r="I65" s="94">
        <v>10318</v>
      </c>
      <c r="J65" s="94">
        <v>8622</v>
      </c>
      <c r="K65" s="55">
        <v>6630.2370796355135</v>
      </c>
      <c r="L65" s="94">
        <f>SUM(L59:L62)</f>
        <v>6985.1088556013065</v>
      </c>
      <c r="M65" s="94">
        <f t="shared" ref="M65:O65" si="279">SUM(M59:M62)</f>
        <v>7334.3642983813716</v>
      </c>
      <c r="N65" s="94">
        <f t="shared" si="279"/>
        <v>7701.082513300441</v>
      </c>
      <c r="O65" s="94">
        <f t="shared" si="279"/>
        <v>8086.1366389654631</v>
      </c>
      <c r="P65" s="94">
        <f t="shared" ref="P65:U65" si="280">SUM(P59:P62)</f>
        <v>8490.4434709137367</v>
      </c>
      <c r="Q65" s="94">
        <f t="shared" si="280"/>
        <v>8914.9656444594239</v>
      </c>
      <c r="R65" s="94">
        <f t="shared" si="280"/>
        <v>9360.713926682396</v>
      </c>
      <c r="S65" s="94">
        <f t="shared" si="280"/>
        <v>9828.7496230165161</v>
      </c>
      <c r="T65" s="94">
        <f t="shared" si="280"/>
        <v>10320.187104167344</v>
      </c>
      <c r="U65" s="94">
        <f t="shared" si="280"/>
        <v>10836.196459375711</v>
      </c>
    </row>
    <row r="66" spans="1:21" ht="15" customHeight="1" thickBot="1">
      <c r="A66" s="24" t="s">
        <v>5</v>
      </c>
      <c r="B66" s="28"/>
      <c r="C66" s="28">
        <f t="shared" ref="C66" si="281">C65/B65-1</f>
        <v>0.25061867266591675</v>
      </c>
      <c r="D66" s="28">
        <f t="shared" ref="D66" si="282">D65/C65-1</f>
        <v>-0.47364633926965283</v>
      </c>
      <c r="E66" s="28">
        <f t="shared" ref="E66" si="283">E65/D65-1</f>
        <v>0.23513328776486664</v>
      </c>
      <c r="F66" s="28">
        <f t="shared" ref="F66" si="284">F65/E65-1</f>
        <v>1.0816270060874378</v>
      </c>
      <c r="G66" s="28">
        <f t="shared" ref="G66" si="285">G65/F65-1</f>
        <v>0.12003190216668891</v>
      </c>
      <c r="H66" s="28">
        <f t="shared" ref="H66" si="286">H65/G65-1</f>
        <v>1.3054830287206887E-3</v>
      </c>
      <c r="I66" s="28">
        <f t="shared" ref="I66" si="287">I65/H65-1</f>
        <v>0.22294654498044331</v>
      </c>
      <c r="J66" s="28">
        <f t="shared" ref="J66" si="288">J65/I65-1</f>
        <v>-0.16437294049234352</v>
      </c>
      <c r="K66" s="28">
        <f t="shared" ref="K66" si="289">K65/J65-1</f>
        <v>-0.23100938533570936</v>
      </c>
      <c r="L66" s="28">
        <f t="shared" ref="L66" si="290">L65/K65-1</f>
        <v>5.3523240828863505E-2</v>
      </c>
      <c r="M66" s="28">
        <f t="shared" ref="M66" si="291">M65/L65-1</f>
        <v>5.0000000000000044E-2</v>
      </c>
      <c r="N66" s="28">
        <f t="shared" ref="N66" si="292">N65/M65-1</f>
        <v>5.0000000000000044E-2</v>
      </c>
      <c r="O66" s="28">
        <f t="shared" ref="O66" si="293">O65/N65-1</f>
        <v>5.0000000000000044E-2</v>
      </c>
      <c r="P66" s="28">
        <f t="shared" ref="P66" si="294">P65/O65-1</f>
        <v>5.0000000000000044E-2</v>
      </c>
      <c r="Q66" s="28">
        <f t="shared" ref="Q66" si="295">Q65/P65-1</f>
        <v>5.0000000000000044E-2</v>
      </c>
      <c r="R66" s="28">
        <f t="shared" ref="R66" si="296">R65/Q65-1</f>
        <v>5.0000000000000044E-2</v>
      </c>
      <c r="S66" s="28">
        <f t="shared" ref="S66" si="297">S65/R65-1</f>
        <v>5.0000000000000044E-2</v>
      </c>
      <c r="T66" s="28">
        <f t="shared" ref="T66" si="298">T65/S65-1</f>
        <v>5.0000000000000266E-2</v>
      </c>
      <c r="U66" s="28">
        <f t="shared" ref="U66" si="299">U65/T65-1</f>
        <v>5.0000000000000044E-2</v>
      </c>
    </row>
    <row r="67" spans="1:21" ht="15" customHeight="1" thickBot="1">
      <c r="A67" s="1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1:21" ht="15" customHeight="1" thickBot="1">
      <c r="A68" s="12" t="s">
        <v>100</v>
      </c>
      <c r="B68" s="26">
        <f>B65+B46+B27</f>
        <v>12704</v>
      </c>
      <c r="C68" s="26">
        <f t="shared" ref="C68:O68" si="300">C65+C46+C27</f>
        <v>13908</v>
      </c>
      <c r="D68" s="26">
        <f t="shared" si="300"/>
        <v>10700</v>
      </c>
      <c r="E68" s="26">
        <f t="shared" si="300"/>
        <v>10933</v>
      </c>
      <c r="F68" s="26">
        <f t="shared" si="300"/>
        <v>19264</v>
      </c>
      <c r="G68" s="26">
        <f t="shared" si="300"/>
        <v>19854</v>
      </c>
      <c r="H68" s="26">
        <f t="shared" si="300"/>
        <v>19694</v>
      </c>
      <c r="I68" s="26">
        <f t="shared" si="300"/>
        <v>21729</v>
      </c>
      <c r="J68" s="26">
        <f t="shared" si="300"/>
        <v>21679</v>
      </c>
      <c r="K68" s="26">
        <f t="shared" si="300"/>
        <v>23649.375481159601</v>
      </c>
      <c r="L68" s="26">
        <f t="shared" si="300"/>
        <v>24565.462788566016</v>
      </c>
      <c r="M68" s="26">
        <f t="shared" si="300"/>
        <v>25793.735927994312</v>
      </c>
      <c r="N68" s="26">
        <f t="shared" si="300"/>
        <v>27083.422724394033</v>
      </c>
      <c r="O68" s="26">
        <f t="shared" si="300"/>
        <v>28437.593860613735</v>
      </c>
      <c r="P68" s="26">
        <f t="shared" ref="P68:U68" si="301">P65+P46+P27</f>
        <v>29859.47355364442</v>
      </c>
      <c r="Q68" s="26">
        <f t="shared" si="301"/>
        <v>31352.447231326645</v>
      </c>
      <c r="R68" s="26">
        <f t="shared" si="301"/>
        <v>32920.069592892985</v>
      </c>
      <c r="S68" s="26">
        <f t="shared" si="301"/>
        <v>34566.073072537634</v>
      </c>
      <c r="T68" s="26">
        <f t="shared" si="301"/>
        <v>36294.376726164519</v>
      </c>
      <c r="U68" s="26">
        <f t="shared" si="301"/>
        <v>38109.095562472743</v>
      </c>
    </row>
    <row r="69" spans="1:21" ht="15" customHeight="1" thickBot="1">
      <c r="A69" s="12" t="s">
        <v>101</v>
      </c>
      <c r="B69" s="26">
        <f>B71-B68</f>
        <v>3699</v>
      </c>
      <c r="C69" s="26">
        <f t="shared" ref="C69:J69" si="302">C71-C68</f>
        <v>4720</v>
      </c>
      <c r="D69" s="26">
        <f t="shared" si="302"/>
        <v>3857</v>
      </c>
      <c r="E69" s="26">
        <f t="shared" si="302"/>
        <v>3265</v>
      </c>
      <c r="F69" s="26">
        <f t="shared" si="302"/>
        <v>3581</v>
      </c>
      <c r="G69" s="26">
        <f t="shared" si="302"/>
        <v>2926</v>
      </c>
      <c r="H69" s="26">
        <f t="shared" si="302"/>
        <v>3161</v>
      </c>
      <c r="I69" s="26">
        <f t="shared" si="302"/>
        <v>3726</v>
      </c>
      <c r="J69" s="26">
        <f t="shared" si="302"/>
        <v>4236</v>
      </c>
      <c r="K69" s="26">
        <f>K68*K70</f>
        <v>4493.3813414203241</v>
      </c>
      <c r="L69" s="26">
        <f t="shared" ref="L69:O69" si="303">L68*L70</f>
        <v>4667.4379298275435</v>
      </c>
      <c r="M69" s="26">
        <f t="shared" si="303"/>
        <v>4900.8098263189195</v>
      </c>
      <c r="N69" s="26">
        <f t="shared" si="303"/>
        <v>5145.8503176348668</v>
      </c>
      <c r="O69" s="26">
        <f t="shared" si="303"/>
        <v>5403.1428335166102</v>
      </c>
      <c r="P69" s="26">
        <f t="shared" ref="P69" si="304">P68*P70</f>
        <v>5673.2999751924399</v>
      </c>
      <c r="Q69" s="26">
        <f t="shared" ref="Q69" si="305">Q68*Q70</f>
        <v>5956.9649739520628</v>
      </c>
      <c r="R69" s="26">
        <f t="shared" ref="R69" si="306">R68*R70</f>
        <v>6254.8132226496673</v>
      </c>
      <c r="S69" s="26">
        <f t="shared" ref="S69" si="307">S68*S70</f>
        <v>6567.5538837821505</v>
      </c>
      <c r="T69" s="26">
        <f t="shared" ref="T69" si="308">T68*T70</f>
        <v>6895.9315779712588</v>
      </c>
      <c r="U69" s="26">
        <f t="shared" ref="U69" si="309">U68*U70</f>
        <v>7240.7281568698209</v>
      </c>
    </row>
    <row r="70" spans="1:21" s="48" customFormat="1" ht="15" customHeight="1">
      <c r="A70" s="91" t="s">
        <v>90</v>
      </c>
      <c r="B70" s="95">
        <f>B69/B68</f>
        <v>0.29116813602015112</v>
      </c>
      <c r="C70" s="95">
        <f t="shared" ref="C70:J70" si="310">C69/C68</f>
        <v>0.33937302272073627</v>
      </c>
      <c r="D70" s="95">
        <f t="shared" si="310"/>
        <v>0.36046728971962616</v>
      </c>
      <c r="E70" s="95">
        <f t="shared" si="310"/>
        <v>0.29863715357175524</v>
      </c>
      <c r="F70" s="95">
        <f t="shared" si="310"/>
        <v>0.18589078073089702</v>
      </c>
      <c r="G70" s="95">
        <f t="shared" si="310"/>
        <v>0.14737584365870857</v>
      </c>
      <c r="H70" s="95">
        <f t="shared" si="310"/>
        <v>0.16050573778815883</v>
      </c>
      <c r="I70" s="95">
        <f t="shared" si="310"/>
        <v>0.17147590777302224</v>
      </c>
      <c r="J70" s="95">
        <f t="shared" si="310"/>
        <v>0.19539646662668941</v>
      </c>
      <c r="K70" s="96">
        <v>0.19</v>
      </c>
      <c r="L70" s="96">
        <v>0.19</v>
      </c>
      <c r="M70" s="96">
        <v>0.19</v>
      </c>
      <c r="N70" s="96">
        <v>0.19</v>
      </c>
      <c r="O70" s="96">
        <v>0.19</v>
      </c>
      <c r="P70" s="96">
        <v>0.19</v>
      </c>
      <c r="Q70" s="96">
        <v>0.19</v>
      </c>
      <c r="R70" s="96">
        <v>0.19</v>
      </c>
      <c r="S70" s="96">
        <v>0.19</v>
      </c>
      <c r="T70" s="96">
        <v>0.19</v>
      </c>
      <c r="U70" s="96">
        <v>0.19</v>
      </c>
    </row>
    <row r="71" spans="1:21" ht="15" customHeight="1" thickBot="1">
      <c r="A71" s="99" t="s">
        <v>99</v>
      </c>
      <c r="B71" s="100">
        <f>'Income Statement'!B5</f>
        <v>16403</v>
      </c>
      <c r="C71" s="100">
        <f>'Income Statement'!C5</f>
        <v>18628</v>
      </c>
      <c r="D71" s="100">
        <f>'Income Statement'!D5</f>
        <v>14557</v>
      </c>
      <c r="E71" s="100">
        <f>'Income Statement'!E5</f>
        <v>14198</v>
      </c>
      <c r="F71" s="100">
        <f>'Income Statement'!F5</f>
        <v>22845</v>
      </c>
      <c r="G71" s="100">
        <f>'Income Statement'!G5</f>
        <v>22780</v>
      </c>
      <c r="H71" s="100">
        <f>'Income Statement'!H5</f>
        <v>22855</v>
      </c>
      <c r="I71" s="100">
        <f>'Income Statement'!I5</f>
        <v>25455</v>
      </c>
      <c r="J71" s="100">
        <f>'Income Statement'!J5</f>
        <v>25915</v>
      </c>
      <c r="K71" s="100">
        <f>K69+K68</f>
        <v>28142.756822579926</v>
      </c>
      <c r="L71" s="100">
        <f t="shared" ref="L71:O71" si="311">L69+L68</f>
        <v>29232.900718393561</v>
      </c>
      <c r="M71" s="100">
        <f t="shared" si="311"/>
        <v>30694.545754313232</v>
      </c>
      <c r="N71" s="100">
        <f t="shared" si="311"/>
        <v>32229.273042028901</v>
      </c>
      <c r="O71" s="100">
        <f t="shared" si="311"/>
        <v>33840.736694130348</v>
      </c>
      <c r="P71" s="100">
        <f t="shared" ref="P71:U71" si="312">P69+P68</f>
        <v>35532.773528836857</v>
      </c>
      <c r="Q71" s="100">
        <f t="shared" si="312"/>
        <v>37309.412205278706</v>
      </c>
      <c r="R71" s="100">
        <f t="shared" si="312"/>
        <v>39174.882815542653</v>
      </c>
      <c r="S71" s="100">
        <f t="shared" si="312"/>
        <v>41133.626956319786</v>
      </c>
      <c r="T71" s="100">
        <f t="shared" si="312"/>
        <v>43190.308304135775</v>
      </c>
      <c r="U71" s="100">
        <f t="shared" si="312"/>
        <v>45349.823719342567</v>
      </c>
    </row>
  </sheetData>
  <pageMargins left="0.25" right="0.25" top="0.75" bottom="0.75" header="0.3" footer="0.3"/>
  <pageSetup paperSize="9" scale="4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41B13-1C9A-48A4-A54A-C4DBA7FF1EA4}">
  <sheetPr codeName="Sheet3">
    <pageSetUpPr fitToPage="1"/>
  </sheetPr>
  <dimension ref="A1:U17"/>
  <sheetViews>
    <sheetView zoomScale="145" zoomScaleNormal="145" workbookViewId="0">
      <pane xSplit="1" ySplit="2" topLeftCell="I3" activePane="bottomRight" state="frozen"/>
      <selection pane="topRight" activeCell="B1" sqref="B1"/>
      <selection pane="bottomLeft" activeCell="A4" sqref="A4"/>
      <selection pane="bottomRight" activeCell="T18" sqref="T18"/>
    </sheetView>
  </sheetViews>
  <sheetFormatPr defaultColWidth="16.6640625" defaultRowHeight="15" customHeight="1"/>
  <cols>
    <col min="1" max="1" width="57.109375" style="1" customWidth="1"/>
    <col min="2" max="4" width="10.44140625" style="1" customWidth="1"/>
    <col min="5" max="5" width="11.109375" style="1" customWidth="1"/>
    <col min="6" max="7" width="10.44140625" style="1" customWidth="1"/>
    <col min="8" max="8" width="10.88671875" style="1" customWidth="1"/>
    <col min="9" max="15" width="11.44140625" style="1" customWidth="1"/>
    <col min="16" max="16" width="10.44140625" style="2" customWidth="1"/>
    <col min="17" max="21" width="10.44140625" style="1" customWidth="1"/>
    <col min="22" max="24" width="11.44140625" style="1" customWidth="1"/>
    <col min="25" max="29" width="12.44140625" style="1" customWidth="1"/>
    <col min="30" max="35" width="10" style="1" customWidth="1"/>
    <col min="36" max="16384" width="16.6640625" style="1"/>
  </cols>
  <sheetData>
    <row r="1" spans="1:21" ht="15" customHeight="1" thickBot="1">
      <c r="A1" s="3"/>
    </row>
    <row r="2" spans="1:21" ht="22.5" customHeight="1" thickTop="1" thickBot="1">
      <c r="A2" s="73" t="s">
        <v>17</v>
      </c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21" ht="16.5" customHeight="1">
      <c r="A3" s="7" t="s">
        <v>102</v>
      </c>
      <c r="B3" s="8">
        <f t="shared" ref="B3:O3" si="0">B2</f>
        <v>2017</v>
      </c>
      <c r="C3" s="8">
        <f t="shared" si="0"/>
        <v>2018</v>
      </c>
      <c r="D3" s="8">
        <f t="shared" si="0"/>
        <v>2019</v>
      </c>
      <c r="E3" s="8">
        <f t="shared" si="0"/>
        <v>2020</v>
      </c>
      <c r="F3" s="8">
        <f t="shared" si="0"/>
        <v>2021</v>
      </c>
      <c r="G3" s="8">
        <f t="shared" si="0"/>
        <v>2022</v>
      </c>
      <c r="H3" s="8">
        <f t="shared" si="0"/>
        <v>2023</v>
      </c>
      <c r="I3" s="8">
        <f t="shared" si="0"/>
        <v>2024</v>
      </c>
      <c r="J3" s="8">
        <f t="shared" si="0"/>
        <v>2025</v>
      </c>
      <c r="K3" s="8">
        <f t="shared" si="0"/>
        <v>2026</v>
      </c>
      <c r="L3" s="8">
        <f t="shared" si="0"/>
        <v>2027</v>
      </c>
      <c r="M3" s="8">
        <f t="shared" si="0"/>
        <v>2028</v>
      </c>
      <c r="N3" s="8">
        <f t="shared" si="0"/>
        <v>2029</v>
      </c>
      <c r="O3" s="8">
        <f t="shared" si="0"/>
        <v>2030</v>
      </c>
      <c r="P3" s="8">
        <f t="shared" ref="P3:U3" si="1">P2</f>
        <v>2031</v>
      </c>
      <c r="Q3" s="8">
        <f t="shared" si="1"/>
        <v>2032</v>
      </c>
      <c r="R3" s="8">
        <f t="shared" si="1"/>
        <v>2033</v>
      </c>
      <c r="S3" s="8">
        <f t="shared" si="1"/>
        <v>2034</v>
      </c>
      <c r="T3" s="8">
        <f t="shared" si="1"/>
        <v>2035</v>
      </c>
      <c r="U3" s="8">
        <f t="shared" si="1"/>
        <v>2036</v>
      </c>
    </row>
    <row r="4" spans="1:21" ht="13.5" customHeight="1" thickBot="1">
      <c r="A4" s="9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ht="15" customHeight="1" thickBot="1">
      <c r="A5" s="12" t="s">
        <v>19</v>
      </c>
      <c r="B5" s="10">
        <v>10308</v>
      </c>
      <c r="C5" s="10">
        <v>11691</v>
      </c>
      <c r="D5" s="10">
        <v>11693</v>
      </c>
      <c r="E5" s="10">
        <v>10127</v>
      </c>
      <c r="F5" s="10">
        <v>12032</v>
      </c>
      <c r="G5" s="10">
        <v>13070</v>
      </c>
      <c r="H5" s="10">
        <v>13621</v>
      </c>
      <c r="I5" s="10">
        <v>15554</v>
      </c>
      <c r="J5" s="10">
        <v>16374</v>
      </c>
      <c r="K5" s="10">
        <f>K6*'Revenue Model'!K$71</f>
        <v>17824.794426062483</v>
      </c>
      <c r="L5" s="10">
        <f>L6*'Revenue Model'!L$71</f>
        <v>17979.377445325856</v>
      </c>
      <c r="M5" s="10">
        <f>M6*'Revenue Model'!M$71</f>
        <v>18287.536345756092</v>
      </c>
      <c r="N5" s="10">
        <f>N6*'Revenue Model'!N$71</f>
        <v>18550.545169094647</v>
      </c>
      <c r="O5" s="10">
        <f>O6*'Revenue Model'!O$71</f>
        <v>18759.939214220332</v>
      </c>
      <c r="P5" s="10">
        <f>P6*'Revenue Model'!P$71</f>
        <v>18906.194307236066</v>
      </c>
      <c r="Q5" s="10">
        <f>Q6*'Revenue Model'!Q$71</f>
        <v>18978.608613463835</v>
      </c>
      <c r="R5" s="10">
        <f>R6*'Revenue Model'!R$71</f>
        <v>18965.171855566747</v>
      </c>
      <c r="S5" s="10">
        <f>S6*'Revenue Model'!S$71</f>
        <v>18852.420622946345</v>
      </c>
      <c r="T5" s="10">
        <f>T6*'Revenue Model'!T$71</f>
        <v>18625.278321591559</v>
      </c>
      <c r="U5" s="10">
        <f>U6*'Revenue Model'!U$71</f>
        <v>18266.878163587568</v>
      </c>
    </row>
    <row r="6" spans="1:21" ht="15" customHeight="1" thickBot="1">
      <c r="A6" s="24" t="s">
        <v>103</v>
      </c>
      <c r="B6" s="28">
        <f>B5/'Income Statement'!B$5</f>
        <v>0.62842163018959951</v>
      </c>
      <c r="C6" s="28">
        <f>C5/'Income Statement'!C$5</f>
        <v>0.62760360747262189</v>
      </c>
      <c r="D6" s="28">
        <f>D5/'Income Statement'!D$5</f>
        <v>0.80325616541869893</v>
      </c>
      <c r="E6" s="28">
        <f>E5/'Income Statement'!E$5</f>
        <v>0.71326947457388368</v>
      </c>
      <c r="F6" s="28">
        <f>F5/'Income Statement'!F$5</f>
        <v>0.52667979864302916</v>
      </c>
      <c r="G6" s="28">
        <f>G5/'Income Statement'!G$5</f>
        <v>0.57374890254609301</v>
      </c>
      <c r="H6" s="28">
        <f>H5/'Income Statement'!H$5</f>
        <v>0.59597462262087075</v>
      </c>
      <c r="I6" s="28">
        <f>I5/'Income Statement'!I$5</f>
        <v>0.61103908858770384</v>
      </c>
      <c r="J6" s="28">
        <f>J5/'Income Statement'!J$5</f>
        <v>0.63183484468454565</v>
      </c>
      <c r="K6" s="28">
        <f>-0.06*'Revenue Model'!K5+1</f>
        <v>0.63337058762349185</v>
      </c>
      <c r="L6" s="28">
        <f>-0.06*'Revenue Model'!L5+1</f>
        <v>0.61503911700466651</v>
      </c>
      <c r="M6" s="28">
        <f>-0.06*'Revenue Model'!M5+1</f>
        <v>0.59579107285489985</v>
      </c>
      <c r="N6" s="28">
        <f>-0.06*'Revenue Model'!N5+1</f>
        <v>0.57558062649764474</v>
      </c>
      <c r="O6" s="28">
        <f>-0.06*'Revenue Model'!O5+1</f>
        <v>0.55435965782252694</v>
      </c>
      <c r="P6" s="28">
        <f>-0.06*'Revenue Model'!P5+1</f>
        <v>0.53207764071365327</v>
      </c>
      <c r="Q6" s="28">
        <f>-0.06*'Revenue Model'!Q5+1</f>
        <v>0.50868152274933598</v>
      </c>
      <c r="R6" s="28">
        <f>-0.06*'Revenue Model'!R5+1</f>
        <v>0.48411559888680267</v>
      </c>
      <c r="S6" s="28">
        <f>-0.06*'Revenue Model'!S5+1</f>
        <v>0.45832137883114277</v>
      </c>
      <c r="T6" s="28">
        <f>-0.06*'Revenue Model'!T5+1</f>
        <v>0.4312374477726999</v>
      </c>
      <c r="U6" s="28">
        <f>-0.06*'Revenue Model'!U5+1</f>
        <v>0.40279932016133491</v>
      </c>
    </row>
    <row r="7" spans="1:21" ht="15" customHeight="1" thickBot="1">
      <c r="A7" s="12" t="s">
        <v>20</v>
      </c>
      <c r="B7" s="26">
        <v>1714</v>
      </c>
      <c r="C7" s="26">
        <v>1754</v>
      </c>
      <c r="D7" s="26">
        <v>1412</v>
      </c>
      <c r="E7" s="26">
        <v>1528</v>
      </c>
      <c r="F7" s="26">
        <v>1998</v>
      </c>
      <c r="G7" s="26">
        <v>2019</v>
      </c>
      <c r="H7" s="26">
        <v>2074</v>
      </c>
      <c r="I7" s="26">
        <v>2241</v>
      </c>
      <c r="J7" s="26">
        <v>2244</v>
      </c>
      <c r="K7" s="10">
        <f>K8*'Revenue Model'!K$71</f>
        <v>2532.8481140321933</v>
      </c>
      <c r="L7" s="10">
        <f>L8*'Revenue Model'!L$71</f>
        <v>2630.9610646554206</v>
      </c>
      <c r="M7" s="10">
        <f>M8*'Revenue Model'!M$71</f>
        <v>2762.5091178881908</v>
      </c>
      <c r="N7" s="10">
        <f>N8*'Revenue Model'!N$71</f>
        <v>2900.6345737826009</v>
      </c>
      <c r="O7" s="10">
        <f>O8*'Revenue Model'!O$71</f>
        <v>3045.6663024717313</v>
      </c>
      <c r="P7" s="10">
        <f>P8*'Revenue Model'!P$71</f>
        <v>3197.9496175953168</v>
      </c>
      <c r="Q7" s="10">
        <f>Q8*'Revenue Model'!Q$71</f>
        <v>3357.8470984750834</v>
      </c>
      <c r="R7" s="10">
        <f>R8*'Revenue Model'!R$71</f>
        <v>3525.7394533988386</v>
      </c>
      <c r="S7" s="10">
        <f>S8*'Revenue Model'!S$71</f>
        <v>3702.0264260687804</v>
      </c>
      <c r="T7" s="10">
        <f>T8*'Revenue Model'!T$71</f>
        <v>3887.1277473722198</v>
      </c>
      <c r="U7" s="10">
        <f>U8*'Revenue Model'!U$71</f>
        <v>4081.484134740831</v>
      </c>
    </row>
    <row r="8" spans="1:21" ht="15" customHeight="1" thickBot="1">
      <c r="A8" s="24" t="s">
        <v>5</v>
      </c>
      <c r="B8" s="28">
        <f>B7/'Income Statement'!B$5</f>
        <v>0.10449308053404865</v>
      </c>
      <c r="C8" s="28">
        <f>C7/'Income Statement'!C$5</f>
        <v>9.4159330040798794E-2</v>
      </c>
      <c r="D8" s="28">
        <f>D7/'Income Statement'!D$5</f>
        <v>9.6998007831283914E-2</v>
      </c>
      <c r="E8" s="28">
        <f>E7/'Income Statement'!E$5</f>
        <v>0.1076207916607973</v>
      </c>
      <c r="F8" s="28">
        <f>F7/'Income Statement'!F$5</f>
        <v>8.7458962573867371E-2</v>
      </c>
      <c r="G8" s="28">
        <f>G7/'Income Statement'!G$5</f>
        <v>8.8630377524143988E-2</v>
      </c>
      <c r="H8" s="28">
        <f>H7/'Income Statement'!H$5</f>
        <v>9.0746007438197329E-2</v>
      </c>
      <c r="I8" s="28">
        <f>I7/'Income Statement'!I$5</f>
        <v>8.8037713612256929E-2</v>
      </c>
      <c r="J8" s="28">
        <f>J7/'Income Statement'!J$5</f>
        <v>8.659077754196412E-2</v>
      </c>
      <c r="K8" s="28">
        <v>0.09</v>
      </c>
      <c r="L8" s="56">
        <v>0.09</v>
      </c>
      <c r="M8" s="56">
        <v>0.09</v>
      </c>
      <c r="N8" s="56">
        <v>0.09</v>
      </c>
      <c r="O8" s="56">
        <v>0.09</v>
      </c>
      <c r="P8" s="56">
        <v>0.09</v>
      </c>
      <c r="Q8" s="56">
        <v>0.09</v>
      </c>
      <c r="R8" s="56">
        <v>0.09</v>
      </c>
      <c r="S8" s="56">
        <v>0.09</v>
      </c>
      <c r="T8" s="56">
        <v>0.09</v>
      </c>
      <c r="U8" s="56">
        <v>0.09</v>
      </c>
    </row>
    <row r="9" spans="1:21" ht="15" customHeight="1" thickBot="1">
      <c r="A9" s="12" t="s">
        <v>22</v>
      </c>
      <c r="B9" s="26">
        <v>484</v>
      </c>
      <c r="C9" s="26">
        <v>443</v>
      </c>
      <c r="D9" s="26">
        <v>414</v>
      </c>
      <c r="E9" s="26">
        <v>370</v>
      </c>
      <c r="F9" s="26">
        <v>383</v>
      </c>
      <c r="G9" s="26">
        <v>420</v>
      </c>
      <c r="H9" s="26">
        <v>479</v>
      </c>
      <c r="I9" s="26">
        <v>513</v>
      </c>
      <c r="J9" s="26">
        <v>545</v>
      </c>
      <c r="K9" s="10">
        <f>J9*(1+K10)</f>
        <v>572.25</v>
      </c>
      <c r="L9" s="10">
        <f t="shared" ref="L9:O9" si="2">K9*(1+L10)</f>
        <v>600.86250000000007</v>
      </c>
      <c r="M9" s="10">
        <f t="shared" si="2"/>
        <v>630.9056250000001</v>
      </c>
      <c r="N9" s="10">
        <f t="shared" si="2"/>
        <v>662.45090625000012</v>
      </c>
      <c r="O9" s="10">
        <f t="shared" si="2"/>
        <v>695.57345156250017</v>
      </c>
      <c r="P9" s="10">
        <f t="shared" ref="P9" si="3">O9*(1+P10)</f>
        <v>730.35212414062516</v>
      </c>
      <c r="Q9" s="10">
        <f t="shared" ref="Q9" si="4">P9*(1+Q10)</f>
        <v>766.8697303476564</v>
      </c>
      <c r="R9" s="10">
        <f t="shared" ref="R9" si="5">Q9*(1+R10)</f>
        <v>805.21321686503927</v>
      </c>
      <c r="S9" s="10">
        <f t="shared" ref="S9" si="6">R9*(1+S10)</f>
        <v>845.4738777082913</v>
      </c>
      <c r="T9" s="10">
        <f t="shared" ref="T9" si="7">S9*(1+T10)</f>
        <v>887.74757159370586</v>
      </c>
      <c r="U9" s="10">
        <f t="shared" ref="U9" si="8">T9*(1+U10)</f>
        <v>932.13495017339119</v>
      </c>
    </row>
    <row r="10" spans="1:21" ht="15" customHeight="1" thickBot="1">
      <c r="A10" s="24" t="s">
        <v>5</v>
      </c>
      <c r="B10" s="28"/>
      <c r="C10" s="28">
        <f t="shared" ref="C10:J10" si="9">C9/B9-1</f>
        <v>-8.4710743801652888E-2</v>
      </c>
      <c r="D10" s="28">
        <f t="shared" si="9"/>
        <v>-6.5462753950338626E-2</v>
      </c>
      <c r="E10" s="28">
        <f t="shared" si="9"/>
        <v>-0.106280193236715</v>
      </c>
      <c r="F10" s="28">
        <f t="shared" si="9"/>
        <v>3.513513513513522E-2</v>
      </c>
      <c r="G10" s="28">
        <f t="shared" si="9"/>
        <v>9.6605744125326298E-2</v>
      </c>
      <c r="H10" s="28">
        <f t="shared" si="9"/>
        <v>0.14047619047619042</v>
      </c>
      <c r="I10" s="28">
        <f t="shared" si="9"/>
        <v>7.0981210855949994E-2</v>
      </c>
      <c r="J10" s="28">
        <f t="shared" si="9"/>
        <v>6.2378167641325533E-2</v>
      </c>
      <c r="K10" s="28">
        <v>0.05</v>
      </c>
      <c r="L10" s="56">
        <v>0.05</v>
      </c>
      <c r="M10" s="56">
        <f>L10</f>
        <v>0.05</v>
      </c>
      <c r="N10" s="56">
        <f t="shared" ref="N10:O10" si="10">M10</f>
        <v>0.05</v>
      </c>
      <c r="O10" s="56">
        <f t="shared" si="10"/>
        <v>0.05</v>
      </c>
      <c r="P10" s="56">
        <f t="shared" ref="P10:U10" si="11">O10</f>
        <v>0.05</v>
      </c>
      <c r="Q10" s="56">
        <f t="shared" si="11"/>
        <v>0.05</v>
      </c>
      <c r="R10" s="56">
        <f t="shared" si="11"/>
        <v>0.05</v>
      </c>
      <c r="S10" s="56">
        <f t="shared" si="11"/>
        <v>0.05</v>
      </c>
      <c r="T10" s="56">
        <f t="shared" si="11"/>
        <v>0.05</v>
      </c>
      <c r="U10" s="56">
        <f t="shared" si="11"/>
        <v>0.05</v>
      </c>
    </row>
    <row r="11" spans="1:21" ht="15" customHeight="1" thickBot="1">
      <c r="A11" s="40" t="s">
        <v>21</v>
      </c>
      <c r="B11" s="63">
        <v>94</v>
      </c>
      <c r="C11" s="63">
        <v>105</v>
      </c>
      <c r="D11" s="63">
        <v>104</v>
      </c>
      <c r="E11" s="63">
        <v>50</v>
      </c>
      <c r="F11" s="63">
        <v>55</v>
      </c>
      <c r="G11" s="63">
        <v>115</v>
      </c>
      <c r="H11" s="63">
        <v>137</v>
      </c>
      <c r="I11" s="63">
        <v>156</v>
      </c>
      <c r="J11" s="63">
        <v>192</v>
      </c>
      <c r="K11" s="10">
        <f>J11*(1+K12)</f>
        <v>201.60000000000002</v>
      </c>
      <c r="L11" s="10">
        <f t="shared" ref="L11" si="12">K11*(1+L12)</f>
        <v>211.68000000000004</v>
      </c>
      <c r="M11" s="10">
        <f t="shared" ref="M11" si="13">L11*(1+M12)</f>
        <v>222.26400000000004</v>
      </c>
      <c r="N11" s="10">
        <f t="shared" ref="N11" si="14">M11*(1+N12)</f>
        <v>233.37720000000004</v>
      </c>
      <c r="O11" s="10">
        <f t="shared" ref="O11" si="15">N11*(1+O12)</f>
        <v>245.04606000000007</v>
      </c>
      <c r="P11" s="10">
        <f t="shared" ref="P11" si="16">O11*(1+P12)</f>
        <v>257.29836300000011</v>
      </c>
      <c r="Q11" s="10">
        <f t="shared" ref="Q11" si="17">P11*(1+Q12)</f>
        <v>270.1632811500001</v>
      </c>
      <c r="R11" s="10">
        <f t="shared" ref="R11" si="18">Q11*(1+R12)</f>
        <v>283.67144520750014</v>
      </c>
      <c r="S11" s="10">
        <f t="shared" ref="S11" si="19">R11*(1+S12)</f>
        <v>297.85501746787514</v>
      </c>
      <c r="T11" s="10">
        <f t="shared" ref="T11" si="20">S11*(1+T12)</f>
        <v>312.74776834126891</v>
      </c>
      <c r="U11" s="10">
        <f t="shared" ref="U11" si="21">T11*(1+U12)</f>
        <v>328.38515675833236</v>
      </c>
    </row>
    <row r="12" spans="1:21" ht="15" customHeight="1" thickBot="1">
      <c r="A12" s="24" t="s">
        <v>5</v>
      </c>
      <c r="B12" s="28"/>
      <c r="C12" s="28">
        <f>C11/B11-1</f>
        <v>0.11702127659574457</v>
      </c>
      <c r="D12" s="28">
        <f t="shared" ref="D12" si="22">D11/C11-1</f>
        <v>-9.52380952380949E-3</v>
      </c>
      <c r="E12" s="28">
        <f t="shared" ref="E12" si="23">E11/D11-1</f>
        <v>-0.51923076923076916</v>
      </c>
      <c r="F12" s="28">
        <f t="shared" ref="F12" si="24">F11/E11-1</f>
        <v>0.10000000000000009</v>
      </c>
      <c r="G12" s="28">
        <f t="shared" ref="G12" si="25">G11/F11-1</f>
        <v>1.0909090909090908</v>
      </c>
      <c r="H12" s="28">
        <f t="shared" ref="H12" si="26">H11/G11-1</f>
        <v>0.19130434782608696</v>
      </c>
      <c r="I12" s="28">
        <f t="shared" ref="I12" si="27">I11/H11-1</f>
        <v>0.13868613138686126</v>
      </c>
      <c r="J12" s="28">
        <f t="shared" ref="J12" si="28">J11/I11-1</f>
        <v>0.23076923076923084</v>
      </c>
      <c r="K12" s="28">
        <v>0.05</v>
      </c>
      <c r="L12" s="56">
        <v>0.05</v>
      </c>
      <c r="M12" s="56">
        <f>L12</f>
        <v>0.05</v>
      </c>
      <c r="N12" s="56">
        <f t="shared" ref="N12:O12" si="29">M12</f>
        <v>0.05</v>
      </c>
      <c r="O12" s="56">
        <f t="shared" si="29"/>
        <v>0.05</v>
      </c>
      <c r="P12" s="56">
        <f t="shared" ref="P12:U12" si="30">O12</f>
        <v>0.05</v>
      </c>
      <c r="Q12" s="56">
        <f t="shared" si="30"/>
        <v>0.05</v>
      </c>
      <c r="R12" s="56">
        <f t="shared" si="30"/>
        <v>0.05</v>
      </c>
      <c r="S12" s="56">
        <f t="shared" si="30"/>
        <v>0.05</v>
      </c>
      <c r="T12" s="56">
        <f t="shared" si="30"/>
        <v>0.05</v>
      </c>
      <c r="U12" s="56">
        <f t="shared" si="30"/>
        <v>0.05</v>
      </c>
    </row>
    <row r="13" spans="1:21" ht="15" customHeight="1" thickBot="1">
      <c r="A13" s="40" t="s">
        <v>2</v>
      </c>
      <c r="B13" s="41">
        <f>B15-B11-B9-B7-B5</f>
        <v>251</v>
      </c>
      <c r="C13" s="41">
        <v>32.659999999999997</v>
      </c>
      <c r="D13" s="41">
        <v>32</v>
      </c>
      <c r="E13" s="41">
        <v>33</v>
      </c>
      <c r="F13" s="41">
        <v>34</v>
      </c>
      <c r="G13" s="41">
        <v>29</v>
      </c>
      <c r="H13" s="41">
        <v>30</v>
      </c>
      <c r="I13" s="41">
        <v>30</v>
      </c>
      <c r="J13" s="41">
        <v>34</v>
      </c>
      <c r="K13" s="35">
        <v>120</v>
      </c>
      <c r="L13" s="35">
        <f>K13*(1+L14)</f>
        <v>120</v>
      </c>
      <c r="M13" s="35">
        <f t="shared" ref="M13" si="31">L13*(1+M14)</f>
        <v>120</v>
      </c>
      <c r="N13" s="35">
        <f t="shared" ref="N13" si="32">M13*(1+N14)</f>
        <v>120</v>
      </c>
      <c r="O13" s="35">
        <f t="shared" ref="O13" si="33">N13*(1+O14)</f>
        <v>120</v>
      </c>
      <c r="P13" s="35">
        <f t="shared" ref="P13" si="34">O13*(1+P14)</f>
        <v>120</v>
      </c>
      <c r="Q13" s="35">
        <f t="shared" ref="Q13" si="35">P13*(1+Q14)</f>
        <v>120</v>
      </c>
      <c r="R13" s="35">
        <f t="shared" ref="R13" si="36">Q13*(1+R14)</f>
        <v>120</v>
      </c>
      <c r="S13" s="35">
        <f t="shared" ref="S13" si="37">R13*(1+S14)</f>
        <v>120</v>
      </c>
      <c r="T13" s="35">
        <f t="shared" ref="T13" si="38">S13*(1+T14)</f>
        <v>120</v>
      </c>
      <c r="U13" s="35">
        <f t="shared" ref="U13" si="39">T13*(1+U14)</f>
        <v>120</v>
      </c>
    </row>
    <row r="14" spans="1:21" ht="15" customHeight="1">
      <c r="A14" s="91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</row>
    <row r="15" spans="1:21" ht="15" customHeight="1" thickBot="1">
      <c r="A15" s="97" t="s">
        <v>24</v>
      </c>
      <c r="B15" s="98">
        <f>'Income Statement'!B13</f>
        <v>12851</v>
      </c>
      <c r="C15" s="98">
        <f>'Income Statement'!C13</f>
        <v>14082</v>
      </c>
      <c r="D15" s="98">
        <f>'Income Statement'!D13</f>
        <v>13728</v>
      </c>
      <c r="E15" s="98">
        <f>'Income Statement'!E13</f>
        <v>12234</v>
      </c>
      <c r="F15" s="98">
        <f>'Income Statement'!F13</f>
        <v>14559</v>
      </c>
      <c r="G15" s="98">
        <f>'Income Statement'!G13</f>
        <v>15745</v>
      </c>
      <c r="H15" s="98">
        <f>'Income Statement'!H13</f>
        <v>16630</v>
      </c>
      <c r="I15" s="98">
        <f>'Income Statement'!I13</f>
        <v>18591</v>
      </c>
      <c r="J15" s="98">
        <f>'Income Statement'!J13</f>
        <v>19397</v>
      </c>
      <c r="K15" s="98">
        <f>K13+K11+K9+K7+K5</f>
        <v>21251.492540094674</v>
      </c>
      <c r="L15" s="98">
        <f t="shared" ref="L15:O15" si="40">L13+L11+L9+L7+L5</f>
        <v>21542.881009981276</v>
      </c>
      <c r="M15" s="98">
        <f t="shared" si="40"/>
        <v>22023.215088644283</v>
      </c>
      <c r="N15" s="98">
        <f t="shared" si="40"/>
        <v>22467.007849127247</v>
      </c>
      <c r="O15" s="98">
        <f t="shared" si="40"/>
        <v>22866.225028254565</v>
      </c>
      <c r="P15" s="98">
        <f t="shared" ref="P15:U15" si="41">P13+P11+P9+P7+P5</f>
        <v>23211.794411972009</v>
      </c>
      <c r="Q15" s="98">
        <f t="shared" si="41"/>
        <v>23493.488723436574</v>
      </c>
      <c r="R15" s="98">
        <f t="shared" si="41"/>
        <v>23699.795971038126</v>
      </c>
      <c r="S15" s="98">
        <f t="shared" si="41"/>
        <v>23817.775944191293</v>
      </c>
      <c r="T15" s="98">
        <f t="shared" si="41"/>
        <v>23832.901408898753</v>
      </c>
      <c r="U15" s="98">
        <f t="shared" si="41"/>
        <v>23728.882405260123</v>
      </c>
    </row>
    <row r="16" spans="1:21" ht="15" customHeight="1" thickBot="1">
      <c r="A16" s="24" t="s">
        <v>5</v>
      </c>
      <c r="B16" s="28"/>
      <c r="C16" s="28">
        <f t="shared" ref="C16:O16" si="42">C15/B15-1</f>
        <v>9.5790210878530901E-2</v>
      </c>
      <c r="D16" s="28">
        <f t="shared" si="42"/>
        <v>-2.5138474648487397E-2</v>
      </c>
      <c r="E16" s="28">
        <f t="shared" si="42"/>
        <v>-0.10882867132867136</v>
      </c>
      <c r="F16" s="28">
        <f t="shared" si="42"/>
        <v>0.19004413928396269</v>
      </c>
      <c r="G16" s="28">
        <f t="shared" si="42"/>
        <v>8.1461638848822071E-2</v>
      </c>
      <c r="H16" s="28">
        <f t="shared" si="42"/>
        <v>5.6208320101619469E-2</v>
      </c>
      <c r="I16" s="28">
        <f t="shared" si="42"/>
        <v>0.117919422730006</v>
      </c>
      <c r="J16" s="28">
        <f t="shared" si="42"/>
        <v>4.3354311225862086E-2</v>
      </c>
      <c r="K16" s="28">
        <f t="shared" si="42"/>
        <v>9.5607183589971445E-2</v>
      </c>
      <c r="L16" s="28">
        <f t="shared" si="42"/>
        <v>1.3711435530320726E-2</v>
      </c>
      <c r="M16" s="28">
        <f t="shared" si="42"/>
        <v>2.2296650036754961E-2</v>
      </c>
      <c r="N16" s="28">
        <f t="shared" si="42"/>
        <v>2.0151134096301648E-2</v>
      </c>
      <c r="O16" s="28">
        <f t="shared" si="42"/>
        <v>1.7769040800100333E-2</v>
      </c>
      <c r="P16" s="28">
        <f t="shared" ref="P16" si="43">P15/O15-1</f>
        <v>1.5112655599708313E-2</v>
      </c>
      <c r="Q16" s="28">
        <f t="shared" ref="Q16" si="44">Q15/P15-1</f>
        <v>1.2135826574410702E-2</v>
      </c>
      <c r="R16" s="28">
        <f t="shared" ref="R16" si="45">R15/Q15-1</f>
        <v>8.7814649424862168E-3</v>
      </c>
      <c r="S16" s="28">
        <f t="shared" ref="S16" si="46">S15/R15-1</f>
        <v>4.9781007945106648E-3</v>
      </c>
      <c r="T16" s="28">
        <f t="shared" ref="T16" si="47">T15/S15-1</f>
        <v>6.3504941615466493E-4</v>
      </c>
      <c r="U16" s="28">
        <f t="shared" ref="U16" si="48">U15/T15-1</f>
        <v>-4.3645128158752433E-3</v>
      </c>
    </row>
    <row r="17" spans="1:15" ht="15" customHeight="1">
      <c r="A17" s="91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</row>
  </sheetData>
  <pageMargins left="0.25" right="0.25" top="0.75" bottom="0.75" header="0.3" footer="0.3"/>
  <pageSetup paperSize="9" scale="3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1FF57-02AF-4E5B-B195-80B7A2CF5B2D}">
  <sheetPr codeName="Sheet6">
    <pageSetUpPr fitToPage="1"/>
  </sheetPr>
  <dimension ref="A1:P60"/>
  <sheetViews>
    <sheetView tabSelected="1" zoomScale="120" zoomScaleNormal="120" workbookViewId="0">
      <pane xSplit="1" ySplit="2" topLeftCell="B3" activePane="bottomRight" state="frozen"/>
      <selection pane="topRight" activeCell="B1" sqref="B1"/>
      <selection pane="bottomLeft" activeCell="A4" sqref="A4"/>
      <selection pane="bottomRight" activeCell="E17" sqref="E17"/>
    </sheetView>
  </sheetViews>
  <sheetFormatPr defaultColWidth="16.6640625" defaultRowHeight="15" customHeight="1"/>
  <cols>
    <col min="1" max="1" width="48.5546875" style="108" customWidth="1"/>
    <col min="2" max="2" width="10.6640625" style="1" customWidth="1"/>
    <col min="3" max="10" width="9.44140625" style="1" customWidth="1"/>
    <col min="11" max="11" width="9.44140625" style="2" customWidth="1"/>
    <col min="12" max="12" width="9.44140625" style="1" customWidth="1"/>
    <col min="13" max="13" width="13" style="1" customWidth="1"/>
    <col min="14" max="18" width="11.44140625" style="1" customWidth="1"/>
    <col min="19" max="23" width="12.44140625" style="1" customWidth="1"/>
    <col min="24" max="29" width="10" style="1" customWidth="1"/>
    <col min="30" max="16384" width="16.6640625" style="1"/>
  </cols>
  <sheetData>
    <row r="1" spans="1:16" ht="29.25" customHeight="1" thickBot="1">
      <c r="A1" s="107"/>
      <c r="C1" s="87">
        <v>1</v>
      </c>
      <c r="D1" s="87">
        <v>2</v>
      </c>
      <c r="E1" s="87">
        <v>3</v>
      </c>
      <c r="F1" s="87">
        <v>4</v>
      </c>
      <c r="G1" s="87">
        <v>5</v>
      </c>
      <c r="H1" s="87">
        <v>6</v>
      </c>
      <c r="I1" s="87">
        <v>7</v>
      </c>
      <c r="J1" s="87">
        <v>8</v>
      </c>
      <c r="K1" s="87">
        <v>9</v>
      </c>
      <c r="L1" s="87">
        <v>10</v>
      </c>
    </row>
    <row r="2" spans="1:16" ht="29.25" customHeight="1" thickTop="1" thickBot="1">
      <c r="A2" s="73" t="s">
        <v>17</v>
      </c>
      <c r="B2" s="5" t="s">
        <v>114</v>
      </c>
      <c r="C2" s="5" t="s">
        <v>115</v>
      </c>
      <c r="D2" s="5" t="s">
        <v>116</v>
      </c>
      <c r="E2" s="5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122</v>
      </c>
      <c r="K2" s="5" t="s">
        <v>123</v>
      </c>
      <c r="L2" s="5" t="s">
        <v>124</v>
      </c>
      <c r="M2" s="5" t="s">
        <v>125</v>
      </c>
    </row>
    <row r="3" spans="1:16" ht="22.5" customHeight="1">
      <c r="A3" s="7" t="s">
        <v>113</v>
      </c>
      <c r="B3" s="8" t="str">
        <f>B2</f>
        <v>BASE YEAR</v>
      </c>
      <c r="C3" s="8" t="str">
        <f t="shared" ref="C3:J3" si="0">C2</f>
        <v>YEAR 1</v>
      </c>
      <c r="D3" s="8" t="str">
        <f t="shared" si="0"/>
        <v>YEAR 2</v>
      </c>
      <c r="E3" s="8" t="str">
        <f t="shared" si="0"/>
        <v>YEAR 3</v>
      </c>
      <c r="F3" s="8" t="str">
        <f t="shared" si="0"/>
        <v>YEAR 4</v>
      </c>
      <c r="G3" s="8" t="str">
        <f t="shared" si="0"/>
        <v>YEAR 5</v>
      </c>
      <c r="H3" s="8" t="str">
        <f t="shared" si="0"/>
        <v>YEAR 6</v>
      </c>
      <c r="I3" s="8" t="str">
        <f t="shared" si="0"/>
        <v>YEAR 7</v>
      </c>
      <c r="J3" s="8" t="str">
        <f t="shared" si="0"/>
        <v>YEAR 8</v>
      </c>
      <c r="K3" s="8" t="str">
        <f t="shared" ref="K3" si="1">K2</f>
        <v>YEAR 9</v>
      </c>
      <c r="L3" s="8" t="str">
        <f t="shared" ref="L3" si="2">L2</f>
        <v>YEAR 10</v>
      </c>
      <c r="M3" s="8" t="str">
        <f t="shared" ref="M3" si="3">M2</f>
        <v>TERMINAL YEAR</v>
      </c>
    </row>
    <row r="4" spans="1:16" ht="13.5" customHeight="1" thickBot="1">
      <c r="A4" s="89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</row>
    <row r="5" spans="1:16" ht="13.5" customHeight="1" thickBot="1">
      <c r="A5" s="109" t="s">
        <v>11</v>
      </c>
      <c r="B5" s="10">
        <f>'Income Statement'!J25</f>
        <v>4152</v>
      </c>
      <c r="C5" s="10">
        <f>'Income Statement'!K25</f>
        <v>4384.4217836154139</v>
      </c>
      <c r="D5" s="10">
        <f>'Income Statement'!L25</f>
        <v>4844.2533652283182</v>
      </c>
      <c r="E5" s="10">
        <f>'Income Statement'!M25</f>
        <v>5481.9216787640216</v>
      </c>
      <c r="F5" s="10">
        <f>'Income Statement'!N25</f>
        <v>6201.9416286709129</v>
      </c>
      <c r="G5" s="10">
        <f>'Income Statement'!O25</f>
        <v>7012.8643088670151</v>
      </c>
      <c r="H5" s="10">
        <f>'Income Statement'!P25</f>
        <v>7924.132416203247</v>
      </c>
      <c r="I5" s="10">
        <f>'Income Statement'!Q25</f>
        <v>8946.1722705821412</v>
      </c>
      <c r="J5" s="10">
        <f>'Income Statement'!R25</f>
        <v>10090.495300304256</v>
      </c>
      <c r="K5" s="10">
        <f>'Income Statement'!S25</f>
        <v>11369.809964465352</v>
      </c>
      <c r="L5" s="10">
        <f>'Income Statement'!T25</f>
        <v>12798.145183921242</v>
      </c>
      <c r="M5" s="10">
        <f>'Income Statement'!U25</f>
        <v>14390.986462254041</v>
      </c>
      <c r="N5" s="10"/>
      <c r="O5" s="10"/>
      <c r="P5" s="10"/>
    </row>
    <row r="6" spans="1:16" ht="13.5" customHeight="1" thickBot="1">
      <c r="A6" s="109" t="s">
        <v>13</v>
      </c>
      <c r="B6" s="10">
        <f>'Income Statement'!J8</f>
        <v>2244</v>
      </c>
      <c r="C6" s="10">
        <f>'Income Statement'!K8</f>
        <v>2532.8481140321933</v>
      </c>
      <c r="D6" s="10">
        <f>'Income Statement'!L8</f>
        <v>2630.9610646554206</v>
      </c>
      <c r="E6" s="10">
        <f>'Income Statement'!M8</f>
        <v>2762.5091178881908</v>
      </c>
      <c r="F6" s="10">
        <f>'Income Statement'!N8</f>
        <v>2900.6345737826009</v>
      </c>
      <c r="G6" s="10">
        <f>'Income Statement'!O8</f>
        <v>3045.6663024717313</v>
      </c>
      <c r="H6" s="10">
        <f>'Income Statement'!P8</f>
        <v>3197.9496175953168</v>
      </c>
      <c r="I6" s="10">
        <f>'Income Statement'!Q8</f>
        <v>3357.8470984750834</v>
      </c>
      <c r="J6" s="10">
        <f>'Income Statement'!R8</f>
        <v>3525.7394533988386</v>
      </c>
      <c r="K6" s="10">
        <f>'Income Statement'!S8</f>
        <v>3702.0264260687804</v>
      </c>
      <c r="L6" s="10">
        <f>'Income Statement'!T8</f>
        <v>3887.1277473722198</v>
      </c>
      <c r="M6" s="10">
        <f>'Income Statement'!U8</f>
        <v>4081.484134740831</v>
      </c>
      <c r="N6" s="10"/>
      <c r="O6" s="10"/>
      <c r="P6" s="10"/>
    </row>
    <row r="7" spans="1:16" ht="13.5" customHeight="1" thickBot="1">
      <c r="A7" s="109" t="s">
        <v>15</v>
      </c>
      <c r="B7" s="10">
        <f>'Income Statement'!J22</f>
        <v>2221</v>
      </c>
      <c r="C7" s="10">
        <f>'Income Statement'!K22</f>
        <v>2360.842498869838</v>
      </c>
      <c r="D7" s="10">
        <f>'Income Statement'!L22</f>
        <v>2608.4441197383253</v>
      </c>
      <c r="E7" s="10">
        <f>'Income Statement'!M22</f>
        <v>2951.803980872935</v>
      </c>
      <c r="F7" s="10">
        <f>'Income Statement'!N22</f>
        <v>3339.5070308227987</v>
      </c>
      <c r="G7" s="10">
        <f>'Income Statement'!O22</f>
        <v>3776.1577047745459</v>
      </c>
      <c r="H7" s="10">
        <f>'Income Statement'!P22</f>
        <v>4266.8405318017485</v>
      </c>
      <c r="I7" s="10">
        <f>'Income Statement'!Q22</f>
        <v>4817.169684159614</v>
      </c>
      <c r="J7" s="10">
        <f>'Income Statement'!R22</f>
        <v>5433.343623240753</v>
      </c>
      <c r="K7" s="10">
        <f>'Income Statement'!S22</f>
        <v>6122.2053654813426</v>
      </c>
      <c r="L7" s="10">
        <f>'Income Statement'!T22</f>
        <v>6891.3089451883607</v>
      </c>
      <c r="M7" s="10">
        <f>'Income Statement'!U22</f>
        <v>7748.9927104444832</v>
      </c>
      <c r="N7" s="10"/>
      <c r="O7" s="10"/>
      <c r="P7" s="10"/>
    </row>
    <row r="8" spans="1:16" ht="13.5" customHeight="1" thickBot="1">
      <c r="A8" s="110" t="s">
        <v>107</v>
      </c>
      <c r="B8" s="54">
        <f>-('Income Statement'!J17+'Income Statement'!J18)</f>
        <v>146</v>
      </c>
      <c r="C8" s="54">
        <f>-('Income Statement'!K17+'Income Statement'!K18)</f>
        <v>146</v>
      </c>
      <c r="D8" s="54">
        <f>-('Income Statement'!L17+'Income Statement'!L18)</f>
        <v>237.32222344564067</v>
      </c>
      <c r="E8" s="54">
        <f>-('Income Statement'!M17+'Income Statement'!M18)</f>
        <v>237.6050060319925</v>
      </c>
      <c r="F8" s="54">
        <f>-('Income Statement'!N17+'Income Statement'!N18)</f>
        <v>220.81653340794159</v>
      </c>
      <c r="G8" s="54">
        <f>-('Income Statement'!O17+'Income Statement'!O18)</f>
        <v>185.48965223422178</v>
      </c>
      <c r="H8" s="54">
        <f>-('Income Statement'!P17+'Income Statement'!P18)</f>
        <v>130.00616885984869</v>
      </c>
      <c r="I8" s="54">
        <f>-('Income Statement'!Q17+'Income Statement'!Q18)</f>
        <v>52.581527100381265</v>
      </c>
      <c r="J8" s="54">
        <f>-('Income Statement'!R17+'Income Statement'!R18)</f>
        <v>-48.752079040477554</v>
      </c>
      <c r="K8" s="54">
        <f>-('Income Statement'!S17+'Income Statement'!S18)</f>
        <v>-176.16431781820273</v>
      </c>
      <c r="L8" s="54">
        <f>-('Income Statement'!T17+'Income Statement'!T18)</f>
        <v>-332.04723387258269</v>
      </c>
      <c r="M8" s="54">
        <f>-('Income Statement'!U17+'Income Statement'!U18)</f>
        <v>-519.03785861608549</v>
      </c>
      <c r="N8" s="10"/>
      <c r="O8" s="10"/>
      <c r="P8" s="10"/>
    </row>
    <row r="9" spans="1:16" ht="13.5" customHeight="1" thickBot="1">
      <c r="A9" s="49" t="s">
        <v>14</v>
      </c>
      <c r="B9" s="111">
        <f>SUM(B5:B8)</f>
        <v>8763</v>
      </c>
      <c r="C9" s="111">
        <f t="shared" ref="C9:M9" si="4">SUM(C5:C8)</f>
        <v>9424.1123965174447</v>
      </c>
      <c r="D9" s="111">
        <f t="shared" si="4"/>
        <v>10320.980773067706</v>
      </c>
      <c r="E9" s="111">
        <f t="shared" si="4"/>
        <v>11433.83978355714</v>
      </c>
      <c r="F9" s="111">
        <f t="shared" si="4"/>
        <v>12662.899766684255</v>
      </c>
      <c r="G9" s="111">
        <f t="shared" si="4"/>
        <v>14020.177968347516</v>
      </c>
      <c r="H9" s="111">
        <f t="shared" si="4"/>
        <v>15518.928734460162</v>
      </c>
      <c r="I9" s="111">
        <f t="shared" si="4"/>
        <v>17173.770580317221</v>
      </c>
      <c r="J9" s="111">
        <f t="shared" si="4"/>
        <v>19000.826297903372</v>
      </c>
      <c r="K9" s="111">
        <f t="shared" si="4"/>
        <v>21017.877438197273</v>
      </c>
      <c r="L9" s="111">
        <f t="shared" si="4"/>
        <v>23244.53464260924</v>
      </c>
      <c r="M9" s="111">
        <f t="shared" si="4"/>
        <v>25702.425448823269</v>
      </c>
      <c r="N9" s="10"/>
      <c r="O9" s="10"/>
      <c r="P9" s="10"/>
    </row>
    <row r="10" spans="1:16" ht="13.5" customHeight="1" thickBot="1">
      <c r="A10" s="89" t="s">
        <v>126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</row>
    <row r="11" spans="1:16" ht="13.5" customHeight="1" thickBot="1">
      <c r="A11" s="6" t="s">
        <v>65</v>
      </c>
      <c r="B11" s="54">
        <f>'Cash Flow'!J20</f>
        <v>-4494</v>
      </c>
      <c r="C11" s="54">
        <f>'Cash Flow'!K20</f>
        <v>-4500</v>
      </c>
      <c r="D11" s="54">
        <f>'Cash Flow'!L20</f>
        <v>-4500</v>
      </c>
      <c r="E11" s="54">
        <f>'Cash Flow'!M20</f>
        <v>-4500</v>
      </c>
      <c r="F11" s="54">
        <f>'Cash Flow'!N20</f>
        <v>-4500</v>
      </c>
      <c r="G11" s="54">
        <f>'Cash Flow'!O20</f>
        <v>-4500</v>
      </c>
      <c r="H11" s="54">
        <f>'Cash Flow'!P20</f>
        <v>-4500</v>
      </c>
      <c r="I11" s="54">
        <f>'Cash Flow'!Q20</f>
        <v>-4500</v>
      </c>
      <c r="J11" s="54">
        <f>'Cash Flow'!R20</f>
        <v>-4500</v>
      </c>
      <c r="K11" s="54">
        <f>'Cash Flow'!S20</f>
        <v>-4500</v>
      </c>
      <c r="L11" s="54">
        <f>'Cash Flow'!T20</f>
        <v>-4500</v>
      </c>
      <c r="M11" s="54">
        <f>'Cash Flow'!U20</f>
        <v>-4500</v>
      </c>
      <c r="N11" s="10"/>
      <c r="O11" s="10"/>
      <c r="P11" s="10"/>
    </row>
    <row r="12" spans="1:16" ht="13.5" customHeight="1" thickBot="1">
      <c r="A12" s="112" t="s">
        <v>127</v>
      </c>
      <c r="B12" s="111">
        <f>B9+B11</f>
        <v>4269</v>
      </c>
      <c r="C12" s="111">
        <f t="shared" ref="C12:M12" si="5">C9+C11</f>
        <v>4924.1123965174447</v>
      </c>
      <c r="D12" s="111">
        <f t="shared" si="5"/>
        <v>5820.9807730677057</v>
      </c>
      <c r="E12" s="111">
        <f t="shared" si="5"/>
        <v>6933.8397835571395</v>
      </c>
      <c r="F12" s="111">
        <f t="shared" si="5"/>
        <v>8162.8997666842552</v>
      </c>
      <c r="G12" s="111">
        <f t="shared" si="5"/>
        <v>9520.1779683475161</v>
      </c>
      <c r="H12" s="111">
        <f t="shared" si="5"/>
        <v>11018.928734460162</v>
      </c>
      <c r="I12" s="111">
        <f t="shared" si="5"/>
        <v>12673.770580317221</v>
      </c>
      <c r="J12" s="111">
        <f t="shared" si="5"/>
        <v>14500.826297903372</v>
      </c>
      <c r="K12" s="111">
        <f t="shared" si="5"/>
        <v>16517.877438197273</v>
      </c>
      <c r="L12" s="111">
        <f t="shared" si="5"/>
        <v>18744.53464260924</v>
      </c>
      <c r="M12" s="111">
        <f t="shared" si="5"/>
        <v>21202.425448823269</v>
      </c>
      <c r="N12" s="10"/>
      <c r="O12" s="10"/>
      <c r="P12" s="10"/>
    </row>
    <row r="13" spans="1:16" ht="13.5" customHeight="1" thickBot="1">
      <c r="A13" s="89"/>
      <c r="B13" s="5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</row>
    <row r="14" spans="1:16" ht="13.5" customHeight="1" thickBot="1">
      <c r="A14" s="128" t="s">
        <v>128</v>
      </c>
      <c r="B14" s="129">
        <v>0.1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</row>
    <row r="15" spans="1:16" ht="13.5" customHeight="1" thickBot="1">
      <c r="A15" s="136" t="s">
        <v>129</v>
      </c>
      <c r="B15" s="137"/>
      <c r="C15" s="138">
        <f>1/(1+$B14)^C1</f>
        <v>0.90909090909090906</v>
      </c>
      <c r="D15" s="138">
        <f t="shared" ref="D15:L15" si="6">1/(1+$B14)^D1</f>
        <v>0.82644628099173545</v>
      </c>
      <c r="E15" s="138">
        <f t="shared" si="6"/>
        <v>0.75131480090157754</v>
      </c>
      <c r="F15" s="138">
        <f t="shared" si="6"/>
        <v>0.68301345536507052</v>
      </c>
      <c r="G15" s="138">
        <f t="shared" si="6"/>
        <v>0.62092132305915493</v>
      </c>
      <c r="H15" s="138">
        <f t="shared" si="6"/>
        <v>0.56447393005377722</v>
      </c>
      <c r="I15" s="138">
        <f t="shared" si="6"/>
        <v>0.51315811823070645</v>
      </c>
      <c r="J15" s="138">
        <f t="shared" si="6"/>
        <v>0.46650738020973315</v>
      </c>
      <c r="K15" s="138">
        <f t="shared" si="6"/>
        <v>0.42409761837248466</v>
      </c>
      <c r="L15" s="138">
        <f t="shared" si="6"/>
        <v>0.38554328942953148</v>
      </c>
      <c r="M15" s="10"/>
      <c r="N15" s="10"/>
      <c r="O15" s="10"/>
      <c r="P15" s="10"/>
    </row>
    <row r="16" spans="1:16" ht="13.5" customHeight="1" thickBot="1">
      <c r="A16" s="130"/>
      <c r="B16" s="131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1:16" ht="13.5" customHeight="1" thickBot="1">
      <c r="A17" s="130" t="s">
        <v>130</v>
      </c>
      <c r="B17" s="131">
        <f>M12</f>
        <v>21202.425448823269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16" ht="13.5" customHeight="1" thickBot="1">
      <c r="A18" s="130" t="s">
        <v>131</v>
      </c>
      <c r="B18" s="132">
        <f>B14</f>
        <v>0.1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16" ht="13.5" customHeight="1" thickBot="1">
      <c r="A19" s="130" t="s">
        <v>132</v>
      </c>
      <c r="B19" s="131">
        <f>B17/B18</f>
        <v>212024.25448823269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</row>
    <row r="20" spans="1:16" ht="13.5" customHeight="1" thickBot="1">
      <c r="A20" s="130" t="s">
        <v>133</v>
      </c>
      <c r="B20" s="131">
        <f>B19*L15</f>
        <v>81744.528514237332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</row>
    <row r="21" spans="1:16" ht="13.5" customHeight="1" thickBot="1">
      <c r="A21" s="130" t="s">
        <v>134</v>
      </c>
      <c r="B21" s="131">
        <f>SUMPRODUCT(C12:L12,C15:L15)</f>
        <v>59703.652842178664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  <row r="22" spans="1:16" ht="13.5" customHeight="1" thickBot="1">
      <c r="A22" s="128" t="s">
        <v>135</v>
      </c>
      <c r="B22" s="133">
        <f>B21+B20</f>
        <v>141448.181356416</v>
      </c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</row>
    <row r="23" spans="1:16" ht="13.5" customHeight="1" thickBot="1">
      <c r="A23" s="113" t="s">
        <v>136</v>
      </c>
      <c r="B23" s="114">
        <f>B22</f>
        <v>141448.181356416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</row>
    <row r="24" spans="1:16" ht="13.5" customHeight="1" thickBot="1">
      <c r="A24" s="134" t="s">
        <v>137</v>
      </c>
      <c r="B24" s="131">
        <f>'Balance Sheet'!J25</f>
        <v>9379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</row>
    <row r="25" spans="1:16" ht="13.5" customHeight="1" thickBot="1">
      <c r="A25" s="134" t="s">
        <v>138</v>
      </c>
      <c r="B25" s="131">
        <f>'Balance Sheet'!J28</f>
        <v>11867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</row>
    <row r="26" spans="1:16" ht="13.5" customHeight="1" thickBot="1">
      <c r="A26" s="134" t="s">
        <v>139</v>
      </c>
      <c r="B26" s="131">
        <f>'Balance Sheet'!J6</f>
        <v>3824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</row>
    <row r="27" spans="1:16" ht="13.5" customHeight="1" thickBot="1">
      <c r="A27" s="115" t="s">
        <v>140</v>
      </c>
      <c r="B27" s="116">
        <f>B23-B24-B25+B26</f>
        <v>124026.181356416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</row>
    <row r="28" spans="1:16" ht="13.5" customHeight="1" thickBot="1">
      <c r="A28" s="130" t="s">
        <v>141</v>
      </c>
      <c r="B28" s="131">
        <f>'Income Statement'!J31</f>
        <v>1443.25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</row>
    <row r="29" spans="1:16" ht="13.5" customHeight="1" thickBot="1">
      <c r="A29" s="117" t="s">
        <v>142</v>
      </c>
      <c r="B29" s="118">
        <f>B27/B28</f>
        <v>85.935341317454359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</row>
    <row r="30" spans="1:16" ht="13.5" customHeight="1" thickBot="1">
      <c r="A30" s="130" t="s">
        <v>143</v>
      </c>
      <c r="B30" s="135">
        <v>72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</row>
    <row r="31" spans="1:16" ht="13.5" customHeight="1" thickBot="1">
      <c r="A31" s="121" t="s">
        <v>144</v>
      </c>
      <c r="B31" s="120">
        <f>B30/B29</f>
        <v>0.83783922768194152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</row>
    <row r="32" spans="1:16" ht="13.5" customHeight="1" thickBot="1">
      <c r="A32" s="89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</row>
    <row r="33" spans="1:16" ht="13.5" customHeight="1" thickBot="1">
      <c r="A33" s="89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</row>
    <row r="34" spans="1:16" ht="13.5" customHeight="1" thickBot="1">
      <c r="A34" s="89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</row>
    <row r="35" spans="1:16" ht="13.5" customHeight="1" thickBot="1">
      <c r="A35" s="89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</row>
    <row r="36" spans="1:16" ht="13.5" customHeight="1" thickBot="1">
      <c r="A36" s="89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</row>
    <row r="37" spans="1:16" ht="13.5" customHeight="1" thickBot="1">
      <c r="A37" s="89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</row>
    <row r="38" spans="1:16" ht="13.5" customHeight="1" thickBot="1">
      <c r="A38" s="89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</row>
    <row r="39" spans="1:16" ht="13.5" customHeight="1" thickBot="1">
      <c r="A39" s="89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</row>
    <row r="40" spans="1:16" ht="13.5" customHeight="1" thickBot="1">
      <c r="A40" s="89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</row>
    <row r="41" spans="1:16" ht="13.5" customHeight="1" thickBot="1">
      <c r="A41" s="89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16" ht="13.5" customHeight="1" thickBot="1">
      <c r="A42" s="89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</row>
    <row r="43" spans="1:16" ht="13.5" customHeight="1" thickBot="1">
      <c r="A43" s="8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</row>
    <row r="44" spans="1:16" ht="13.5" customHeight="1" thickBot="1">
      <c r="A44" s="89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</row>
    <row r="45" spans="1:16" ht="13.5" customHeight="1" thickBot="1">
      <c r="A45" s="89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</row>
    <row r="46" spans="1:16" ht="13.5" customHeight="1" thickBot="1">
      <c r="A46" s="89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</row>
    <row r="47" spans="1:16" ht="13.5" customHeight="1" thickBot="1">
      <c r="A47" s="89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</row>
    <row r="48" spans="1:16" ht="13.5" customHeight="1" thickBot="1">
      <c r="A48" s="89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</row>
    <row r="49" spans="1:16" ht="13.5" customHeight="1" thickBot="1">
      <c r="A49" s="89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</row>
    <row r="50" spans="1:16" ht="13.5" customHeight="1" thickBot="1">
      <c r="A50" s="89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</row>
    <row r="51" spans="1:16" ht="13.5" customHeight="1" thickBot="1">
      <c r="A51" s="89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</row>
    <row r="52" spans="1:16" ht="13.5" customHeight="1" thickBot="1">
      <c r="A52" s="89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</row>
    <row r="53" spans="1:16" ht="13.5" customHeight="1" thickBot="1">
      <c r="A53" s="89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</row>
    <row r="54" spans="1:16" ht="13.5" customHeight="1" thickBot="1">
      <c r="A54" s="89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</row>
    <row r="55" spans="1:16" ht="13.5" customHeight="1" thickBot="1">
      <c r="A55" s="89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</row>
    <row r="56" spans="1:16" ht="13.5" customHeight="1" thickBot="1">
      <c r="A56" s="89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</row>
    <row r="57" spans="1:16" ht="13.5" customHeight="1" thickBot="1">
      <c r="A57" s="89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</row>
    <row r="58" spans="1:16" ht="13.5" customHeight="1" thickBot="1">
      <c r="A58" s="8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</row>
    <row r="59" spans="1:16" ht="13.5" customHeight="1" thickBot="1">
      <c r="A59" s="89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</row>
    <row r="60" spans="1:16" ht="13.5" customHeight="1" thickBot="1">
      <c r="A60" s="89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</row>
  </sheetData>
  <phoneticPr fontId="5" type="noConversion"/>
  <pageMargins left="0.25" right="0.25" top="0.75" bottom="0.75" header="0.3" footer="0.3"/>
  <pageSetup paperSize="9" scale="6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D6BBE-9ED6-4582-B9CB-6DC4E838FF42}">
  <sheetPr codeName="Sheet7">
    <pageSetUpPr fitToPage="1"/>
  </sheetPr>
  <dimension ref="A1:AB245"/>
  <sheetViews>
    <sheetView zoomScaleNormal="100" workbookViewId="0">
      <selection activeCell="AB48" sqref="AB48"/>
    </sheetView>
  </sheetViews>
  <sheetFormatPr defaultRowHeight="13.2"/>
  <cols>
    <col min="2" max="2" width="10.33203125" bestFit="1" customWidth="1"/>
    <col min="3" max="9" width="11.33203125" bestFit="1" customWidth="1"/>
    <col min="10" max="12" width="12.33203125" bestFit="1" customWidth="1"/>
    <col min="27" max="27" width="10.33203125" bestFit="1" customWidth="1"/>
  </cols>
  <sheetData>
    <row r="1" spans="1:28">
      <c r="B1" s="127">
        <f t="shared" ref="B1:K1" si="0">MEDIAN(B3:B245)</f>
        <v>4924.1123965174447</v>
      </c>
      <c r="C1" s="127">
        <f t="shared" si="0"/>
        <v>5519.2847322564403</v>
      </c>
      <c r="D1" s="127">
        <f t="shared" si="0"/>
        <v>6869.3034509253521</v>
      </c>
      <c r="E1" s="127">
        <f t="shared" si="0"/>
        <v>7381.1031492210395</v>
      </c>
      <c r="F1" s="127">
        <f t="shared" si="0"/>
        <v>8880.3766001897802</v>
      </c>
      <c r="G1" s="127">
        <f t="shared" si="0"/>
        <v>9311.0424044516076</v>
      </c>
      <c r="H1" s="127">
        <f t="shared" si="0"/>
        <v>11005.202992160186</v>
      </c>
      <c r="I1" s="127">
        <f t="shared" si="0"/>
        <v>14336.615687847441</v>
      </c>
      <c r="J1" s="127">
        <f t="shared" si="0"/>
        <v>16770.619158709676</v>
      </c>
      <c r="K1" s="127">
        <f t="shared" si="0"/>
        <v>20144.799401790944</v>
      </c>
      <c r="L1" s="127">
        <f>MEDIAN(L3:L245)</f>
        <v>22793.803219266494</v>
      </c>
    </row>
    <row r="2" spans="1:28">
      <c r="B2" s="125" t="s">
        <v>114</v>
      </c>
      <c r="C2" s="125" t="s">
        <v>115</v>
      </c>
      <c r="D2" s="125" t="s">
        <v>116</v>
      </c>
      <c r="E2" s="125" t="s">
        <v>117</v>
      </c>
      <c r="F2" s="125" t="s">
        <v>118</v>
      </c>
      <c r="G2" s="125" t="s">
        <v>119</v>
      </c>
      <c r="H2" s="125" t="s">
        <v>120</v>
      </c>
      <c r="I2" s="125" t="s">
        <v>121</v>
      </c>
      <c r="J2" s="125" t="s">
        <v>122</v>
      </c>
      <c r="K2" s="125" t="s">
        <v>123</v>
      </c>
      <c r="L2" s="125" t="s">
        <v>124</v>
      </c>
      <c r="O2" s="81" t="s">
        <v>145</v>
      </c>
      <c r="P2" s="123">
        <f>AVERAGE('Revenue Model'!C6:E6,'Revenue Model'!G6:K6)</f>
        <v>5.4106861231079731E-2</v>
      </c>
      <c r="Q2" s="81" t="s">
        <v>146</v>
      </c>
      <c r="R2" s="123">
        <f>STDEV('Revenue Model'!C6:C6,'Revenue Model'!G6:K6)</f>
        <v>0.14276371730491355</v>
      </c>
    </row>
    <row r="3" spans="1:28">
      <c r="A3" s="124">
        <v>-17.527667406700807</v>
      </c>
      <c r="B3" s="122">
        <v>4924.1123965174447</v>
      </c>
      <c r="C3" s="122">
        <v>1931.2672698704473</v>
      </c>
      <c r="D3" s="122">
        <v>44.80611969255915</v>
      </c>
      <c r="E3" s="122">
        <v>-208.27736903873847</v>
      </c>
      <c r="F3" s="122">
        <v>-1905.1487148212227</v>
      </c>
      <c r="G3" s="122">
        <v>-1994.7770086965129</v>
      </c>
      <c r="H3" s="122">
        <v>-2752.181883314729</v>
      </c>
      <c r="I3" s="122">
        <v>-1307.3289262327435</v>
      </c>
      <c r="J3" s="122">
        <v>-1652.6901749608296</v>
      </c>
      <c r="K3" s="122">
        <v>-1610.8011867172418</v>
      </c>
      <c r="L3" s="122">
        <v>-2123.1602857737576</v>
      </c>
      <c r="Y3" s="126"/>
    </row>
    <row r="4" spans="1:28">
      <c r="A4" s="124">
        <v>174.28843979748288</v>
      </c>
      <c r="B4" s="122">
        <v>4924.1123965174447</v>
      </c>
      <c r="C4" s="122">
        <v>2716.8277686233769</v>
      </c>
      <c r="D4" s="122">
        <v>7521.1298279494204</v>
      </c>
      <c r="E4" s="122">
        <v>11877.36086048429</v>
      </c>
      <c r="F4" s="122">
        <v>13192.413696640742</v>
      </c>
      <c r="G4" s="122">
        <v>14232.873483426549</v>
      </c>
      <c r="H4" s="122">
        <v>26618.54397911422</v>
      </c>
      <c r="I4" s="122">
        <v>24353.241879494053</v>
      </c>
      <c r="J4" s="122">
        <v>39015.277060127097</v>
      </c>
      <c r="K4" s="122">
        <v>38182.866188319909</v>
      </c>
      <c r="L4" s="122">
        <v>45640.897970184167</v>
      </c>
      <c r="Y4" s="126"/>
    </row>
    <row r="5" spans="1:28">
      <c r="A5" s="124">
        <v>263.86632575757005</v>
      </c>
      <c r="B5" s="122">
        <v>4924.1123965174447</v>
      </c>
      <c r="C5" s="122">
        <v>7566.8083099560881</v>
      </c>
      <c r="D5" s="122">
        <v>10120.471071235999</v>
      </c>
      <c r="E5" s="122">
        <v>13647.626946647346</v>
      </c>
      <c r="F5" s="122">
        <v>24194.317853625347</v>
      </c>
      <c r="G5" s="122">
        <v>30391.770521067723</v>
      </c>
      <c r="H5" s="122">
        <v>28281.917945769637</v>
      </c>
      <c r="I5" s="122">
        <v>32239.652517348426</v>
      </c>
      <c r="J5" s="122">
        <v>37060.262568741251</v>
      </c>
      <c r="K5" s="122">
        <v>51933.555233233128</v>
      </c>
      <c r="L5" s="122">
        <v>70840.504491828717</v>
      </c>
    </row>
    <row r="6" spans="1:28">
      <c r="A6" s="124">
        <v>136.53145859729878</v>
      </c>
      <c r="B6" s="122">
        <v>4924.1123965174447</v>
      </c>
      <c r="C6" s="122">
        <v>11392.3672942624</v>
      </c>
      <c r="D6" s="122">
        <v>15645.152763181108</v>
      </c>
      <c r="E6" s="122">
        <v>17741.281567123966</v>
      </c>
      <c r="F6" s="122">
        <v>17461.079082528904</v>
      </c>
      <c r="G6" s="122">
        <v>14601.346647267856</v>
      </c>
      <c r="H6" s="122">
        <v>23201.863173099035</v>
      </c>
      <c r="I6" s="122">
        <v>29495.427464616318</v>
      </c>
      <c r="J6" s="122">
        <v>20463.799984273122</v>
      </c>
      <c r="K6" s="122">
        <v>21172.42137430824</v>
      </c>
      <c r="L6" s="122">
        <v>29858.069848560423</v>
      </c>
    </row>
    <row r="7" spans="1:28">
      <c r="A7" s="124">
        <v>117.93724407246675</v>
      </c>
      <c r="B7" s="122">
        <v>4924.1123965174447</v>
      </c>
      <c r="C7" s="122">
        <v>3273.9959161815023</v>
      </c>
      <c r="D7" s="122">
        <v>5465.4061697737598</v>
      </c>
      <c r="E7" s="122">
        <v>11702.83276632215</v>
      </c>
      <c r="F7" s="122">
        <v>22507.981091519745</v>
      </c>
      <c r="G7" s="122">
        <v>18394.741769013886</v>
      </c>
      <c r="H7" s="122">
        <v>25017.96237538999</v>
      </c>
      <c r="I7" s="122">
        <v>37343.236187191964</v>
      </c>
      <c r="J7" s="122">
        <v>37654.795391302039</v>
      </c>
      <c r="K7" s="122">
        <v>25868.537526652512</v>
      </c>
      <c r="L7" s="122">
        <v>22771.085921194084</v>
      </c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</row>
    <row r="8" spans="1:28">
      <c r="A8" s="124">
        <v>24.94667557584609</v>
      </c>
      <c r="B8" s="122">
        <v>4924.1123965174447</v>
      </c>
      <c r="C8" s="122">
        <v>5397.0066272983295</v>
      </c>
      <c r="D8" s="122">
        <v>9807.0860581223169</v>
      </c>
      <c r="E8" s="122">
        <v>10612.950897591953</v>
      </c>
      <c r="F8" s="122">
        <v>4217.5207673447894</v>
      </c>
      <c r="G8" s="122">
        <v>4310.4195232540296</v>
      </c>
      <c r="H8" s="122">
        <v>4425.6670220382439</v>
      </c>
      <c r="I8" s="122">
        <v>2002.9480175915924</v>
      </c>
      <c r="J8" s="122">
        <v>3594.5987997699231</v>
      </c>
      <c r="K8" s="122">
        <v>7450.2300543991132</v>
      </c>
      <c r="L8" s="122">
        <v>4465.9883712306892</v>
      </c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</row>
    <row r="9" spans="1:28">
      <c r="A9" s="124">
        <v>159.25334260750213</v>
      </c>
      <c r="B9" s="122">
        <v>4924.1123965174447</v>
      </c>
      <c r="C9" s="122">
        <v>8145.3088283427969</v>
      </c>
      <c r="D9" s="122">
        <v>10930.607416895693</v>
      </c>
      <c r="E9" s="122">
        <v>13846.763039318164</v>
      </c>
      <c r="F9" s="122">
        <v>19904.582502274177</v>
      </c>
      <c r="G9" s="122">
        <v>24522.205536336103</v>
      </c>
      <c r="H9" s="122">
        <v>25363.735113934596</v>
      </c>
      <c r="I9" s="122">
        <v>23796.097402532363</v>
      </c>
      <c r="J9" s="122">
        <v>25024.455689595543</v>
      </c>
      <c r="K9" s="122">
        <v>34912.521035642349</v>
      </c>
      <c r="L9" s="122">
        <v>37348.67775449757</v>
      </c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</row>
    <row r="10" spans="1:28">
      <c r="A10" s="124">
        <v>143.10924098884792</v>
      </c>
      <c r="B10" s="122">
        <v>4924.1123965174447</v>
      </c>
      <c r="C10" s="122">
        <v>8979.6345276798929</v>
      </c>
      <c r="D10" s="122">
        <v>9757.5210498352426</v>
      </c>
      <c r="E10" s="122">
        <v>8979.96541112255</v>
      </c>
      <c r="F10" s="122">
        <v>9226.3393785655699</v>
      </c>
      <c r="G10" s="122">
        <v>16124.215785120883</v>
      </c>
      <c r="H10" s="122">
        <v>18614.414141529498</v>
      </c>
      <c r="I10" s="122">
        <v>21125.185538115104</v>
      </c>
      <c r="J10" s="122">
        <v>29061.672483815681</v>
      </c>
      <c r="K10" s="122">
        <v>25908.506584305629</v>
      </c>
      <c r="L10" s="122">
        <v>36844.317472627343</v>
      </c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AA10" s="122">
        <v>-10000</v>
      </c>
      <c r="AB10" cm="1">
        <f t="array" ref="AB10:AB25">FREQUENCY(L3:L245,AA10:AA36)</f>
        <v>0</v>
      </c>
    </row>
    <row r="11" spans="1:28">
      <c r="A11" s="124">
        <v>90.152405040100689</v>
      </c>
      <c r="B11" s="122">
        <v>4924.1123965174447</v>
      </c>
      <c r="C11" s="122">
        <v>9267.1012706565489</v>
      </c>
      <c r="D11" s="122">
        <v>10722.319967839052</v>
      </c>
      <c r="E11" s="122">
        <v>13397.791818874106</v>
      </c>
      <c r="F11" s="122">
        <v>15347.354108954547</v>
      </c>
      <c r="G11" s="122">
        <v>11205.510277989224</v>
      </c>
      <c r="H11" s="122">
        <v>10360.075035521406</v>
      </c>
      <c r="I11" s="122">
        <v>9912.6865820820531</v>
      </c>
      <c r="J11" s="122">
        <v>11707.066867908537</v>
      </c>
      <c r="K11" s="122">
        <v>14740.948207237841</v>
      </c>
      <c r="L11" s="122">
        <v>21203.557448307685</v>
      </c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AA11" s="122">
        <v>0</v>
      </c>
      <c r="AB11">
        <v>15</v>
      </c>
    </row>
    <row r="12" spans="1:28">
      <c r="A12" s="124">
        <v>1.2310909267499281</v>
      </c>
      <c r="B12" s="122">
        <v>4924.1123965174447</v>
      </c>
      <c r="C12" s="122">
        <v>5456.7808232822263</v>
      </c>
      <c r="D12" s="122">
        <v>4954.7788352610769</v>
      </c>
      <c r="E12" s="122">
        <v>1502.2129308083058</v>
      </c>
      <c r="F12" s="122">
        <v>2412.8469557185499</v>
      </c>
      <c r="G12" s="122">
        <v>1590.0603307279498</v>
      </c>
      <c r="H12" s="122">
        <v>2916.4396470509182</v>
      </c>
      <c r="I12" s="122">
        <v>708.44052479075162</v>
      </c>
      <c r="J12" s="122">
        <v>1822.9526663334436</v>
      </c>
      <c r="K12" s="122">
        <v>-767.04603204823252</v>
      </c>
      <c r="L12" s="122">
        <v>198.0934627463339</v>
      </c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AA12" s="122">
        <v>20000</v>
      </c>
      <c r="AB12">
        <v>93</v>
      </c>
    </row>
    <row r="13" spans="1:28">
      <c r="A13" s="124">
        <v>96.02814583841365</v>
      </c>
      <c r="B13" s="122">
        <v>4924.1123965174447</v>
      </c>
      <c r="C13" s="122">
        <v>12072.341972975701</v>
      </c>
      <c r="D13" s="122">
        <v>19903.657230889345</v>
      </c>
      <c r="E13" s="122">
        <v>7696.3416896920098</v>
      </c>
      <c r="F13" s="122">
        <v>15909.890645227908</v>
      </c>
      <c r="G13" s="122">
        <v>9894.4215655780736</v>
      </c>
      <c r="H13" s="122">
        <v>13984.354541194607</v>
      </c>
      <c r="I13" s="122">
        <v>19040.732204324573</v>
      </c>
      <c r="J13" s="122">
        <v>17110.170743062925</v>
      </c>
      <c r="K13" s="122">
        <v>15624.408933673236</v>
      </c>
      <c r="L13" s="122">
        <v>19854.415632477692</v>
      </c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AA13" s="122">
        <v>40000</v>
      </c>
      <c r="AB13">
        <v>70</v>
      </c>
    </row>
    <row r="14" spans="1:28">
      <c r="A14" s="124">
        <v>55.713965878409745</v>
      </c>
      <c r="B14" s="122">
        <v>4924.1123965174447</v>
      </c>
      <c r="C14" s="122">
        <v>7201.5242591642091</v>
      </c>
      <c r="D14" s="122">
        <v>7720.9275192910663</v>
      </c>
      <c r="E14" s="122">
        <v>8500.5858887038266</v>
      </c>
      <c r="F14" s="122">
        <v>13542.54985667011</v>
      </c>
      <c r="G14" s="122">
        <v>6742.3334289667746</v>
      </c>
      <c r="H14" s="122">
        <v>6816.601885062586</v>
      </c>
      <c r="I14" s="122">
        <v>12947.116355921735</v>
      </c>
      <c r="J14" s="122">
        <v>8711.2996838388663</v>
      </c>
      <c r="K14" s="122">
        <v>7685.7416908747182</v>
      </c>
      <c r="L14" s="122">
        <v>12290.683095971872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AA14" s="122">
        <v>60000</v>
      </c>
      <c r="AB14">
        <v>31</v>
      </c>
    </row>
    <row r="15" spans="1:28">
      <c r="A15" s="124">
        <v>14.377088536166218</v>
      </c>
      <c r="B15" s="122">
        <v>4924.1123965174447</v>
      </c>
      <c r="C15" s="122">
        <v>4934.4218307222345</v>
      </c>
      <c r="D15" s="122">
        <v>5055.2811729972655</v>
      </c>
      <c r="E15" s="122">
        <v>3956.3897552778853</v>
      </c>
      <c r="F15" s="122">
        <v>3630.1723081876562</v>
      </c>
      <c r="G15" s="122">
        <v>3223.1747843728008</v>
      </c>
      <c r="H15" s="122">
        <v>6537.9171206357187</v>
      </c>
      <c r="I15" s="122">
        <v>6810.2256410138052</v>
      </c>
      <c r="J15" s="122">
        <v>4416.2107471791987</v>
      </c>
      <c r="K15" s="122">
        <v>5517.9987734582264</v>
      </c>
      <c r="L15" s="122">
        <v>2207.5524886516641</v>
      </c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AA15" s="122">
        <v>80000</v>
      </c>
      <c r="AB15">
        <v>13</v>
      </c>
    </row>
    <row r="16" spans="1:28">
      <c r="A16" s="124">
        <v>504.56802428573263</v>
      </c>
      <c r="B16" s="122">
        <v>4924.1123965174447</v>
      </c>
      <c r="C16" s="122">
        <v>9253.7972662978882</v>
      </c>
      <c r="D16" s="122">
        <v>10732.66816616741</v>
      </c>
      <c r="E16" s="122">
        <v>21198.362120655776</v>
      </c>
      <c r="F16" s="122">
        <v>30170.971708367011</v>
      </c>
      <c r="G16" s="122">
        <v>34093.599202255726</v>
      </c>
      <c r="H16" s="122">
        <v>52980.014520312943</v>
      </c>
      <c r="I16" s="122">
        <v>61158.092716728497</v>
      </c>
      <c r="J16" s="122">
        <v>87984.845987398134</v>
      </c>
      <c r="K16" s="122">
        <v>102439.04536443234</v>
      </c>
      <c r="L16" s="122">
        <v>140183.41929159799</v>
      </c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AA16" s="122">
        <v>100000</v>
      </c>
      <c r="AB16">
        <v>6</v>
      </c>
    </row>
    <row r="17" spans="1:28">
      <c r="A17" s="124">
        <v>749.04146886052195</v>
      </c>
      <c r="B17" s="122">
        <v>4924.1123965174447</v>
      </c>
      <c r="C17" s="122">
        <v>9757.4730523634862</v>
      </c>
      <c r="D17" s="122">
        <v>5549.9416480729578</v>
      </c>
      <c r="E17" s="122">
        <v>11207.46741463233</v>
      </c>
      <c r="F17" s="122">
        <v>16538.266991989738</v>
      </c>
      <c r="G17" s="122">
        <v>28803.246312800453</v>
      </c>
      <c r="H17" s="122">
        <v>34249.901267738125</v>
      </c>
      <c r="I17" s="122">
        <v>63625.34617992588</v>
      </c>
      <c r="J17" s="122">
        <v>97497.83749912605</v>
      </c>
      <c r="K17" s="122">
        <v>191896.2328217836</v>
      </c>
      <c r="L17" s="122">
        <v>229544.42950867576</v>
      </c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AA17" s="122">
        <v>120000</v>
      </c>
      <c r="AB17">
        <v>5</v>
      </c>
    </row>
    <row r="18" spans="1:28">
      <c r="A18" s="124">
        <v>126.94480858454254</v>
      </c>
      <c r="B18" s="122">
        <v>4924.1123965174447</v>
      </c>
      <c r="C18" s="122">
        <v>5113.0432489043233</v>
      </c>
      <c r="D18" s="122">
        <v>5957.5373094308943</v>
      </c>
      <c r="E18" s="122">
        <v>8885.7739143869003</v>
      </c>
      <c r="F18" s="122">
        <v>6183.783423270339</v>
      </c>
      <c r="G18" s="122">
        <v>6078.9127326858652</v>
      </c>
      <c r="H18" s="122">
        <v>8682.5171614949995</v>
      </c>
      <c r="I18" s="122">
        <v>14271.786520721322</v>
      </c>
      <c r="J18" s="122">
        <v>23534.482875617796</v>
      </c>
      <c r="K18" s="122">
        <v>25523.166192359364</v>
      </c>
      <c r="L18" s="122">
        <v>37137.788720101969</v>
      </c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AA18" s="122">
        <v>140000</v>
      </c>
      <c r="AB18">
        <v>2</v>
      </c>
    </row>
    <row r="19" spans="1:28">
      <c r="A19" s="124">
        <v>164.76476532541398</v>
      </c>
      <c r="B19" s="122">
        <v>4924.1123965174447</v>
      </c>
      <c r="C19" s="122">
        <v>9997.5844656070876</v>
      </c>
      <c r="D19" s="122">
        <v>8773.3364904632454</v>
      </c>
      <c r="E19" s="122">
        <v>10997.461919706973</v>
      </c>
      <c r="F19" s="122">
        <v>9901.1595164858154</v>
      </c>
      <c r="G19" s="122">
        <v>9102.2505192394328</v>
      </c>
      <c r="H19" s="122">
        <v>19526.482557278137</v>
      </c>
      <c r="I19" s="122">
        <v>29521.941283067958</v>
      </c>
      <c r="J19" s="122">
        <v>45079.162206975634</v>
      </c>
      <c r="K19" s="122">
        <v>49718.713615696724</v>
      </c>
      <c r="L19" s="122">
        <v>40206.115634950191</v>
      </c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AA19" s="122">
        <v>160000</v>
      </c>
      <c r="AB19">
        <v>1</v>
      </c>
    </row>
    <row r="20" spans="1:28">
      <c r="A20" s="124">
        <v>80.243144491476968</v>
      </c>
      <c r="B20" s="122">
        <v>4924.1123965174447</v>
      </c>
      <c r="C20" s="122">
        <v>4668.5992272420226</v>
      </c>
      <c r="D20" s="122">
        <v>5154.8669770774522</v>
      </c>
      <c r="E20" s="122">
        <v>7129.4532213718921</v>
      </c>
      <c r="F20" s="122">
        <v>12401.138812877758</v>
      </c>
      <c r="G20" s="122">
        <v>19939.282352641563</v>
      </c>
      <c r="H20" s="122">
        <v>17157.59723423174</v>
      </c>
      <c r="I20" s="122">
        <v>24247.765155708683</v>
      </c>
      <c r="J20" s="122">
        <v>27992.747547619238</v>
      </c>
      <c r="K20" s="122">
        <v>16958.046880556369</v>
      </c>
      <c r="L20" s="122">
        <v>15218.59937204824</v>
      </c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AA20" s="122">
        <v>180000</v>
      </c>
      <c r="AB20">
        <v>1</v>
      </c>
    </row>
    <row r="21" spans="1:28">
      <c r="A21" s="124">
        <v>16.797827535866922</v>
      </c>
      <c r="B21" s="122">
        <v>4924.1123965174447</v>
      </c>
      <c r="C21" s="122">
        <v>6375.9610989352532</v>
      </c>
      <c r="D21" s="122">
        <v>8353.1460792032267</v>
      </c>
      <c r="E21" s="122">
        <v>5947.6155167073557</v>
      </c>
      <c r="F21" s="122">
        <v>4814.0157437565686</v>
      </c>
      <c r="G21" s="122">
        <v>3414.9752197033922</v>
      </c>
      <c r="H21" s="122">
        <v>3189.5755205615869</v>
      </c>
      <c r="I21" s="122">
        <v>4420.5079397233003</v>
      </c>
      <c r="J21" s="122">
        <v>3772.8346991325598</v>
      </c>
      <c r="K21" s="122">
        <v>4348.4679774480974</v>
      </c>
      <c r="L21" s="122">
        <v>2513.1152527760505</v>
      </c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AA21" s="122">
        <v>200000</v>
      </c>
      <c r="AB21">
        <v>1</v>
      </c>
    </row>
    <row r="22" spans="1:28">
      <c r="A22" s="124">
        <v>136.44327708778911</v>
      </c>
      <c r="B22" s="122">
        <v>4924.1123965174447</v>
      </c>
      <c r="C22" s="122">
        <v>4302.2675320143735</v>
      </c>
      <c r="D22" s="122">
        <v>5080.0686995837277</v>
      </c>
      <c r="E22" s="122">
        <v>5709.2789448441345</v>
      </c>
      <c r="F22" s="122">
        <v>12123.234276624193</v>
      </c>
      <c r="G22" s="122">
        <v>16296.730484448359</v>
      </c>
      <c r="H22" s="122">
        <v>19374.731354992971</v>
      </c>
      <c r="I22" s="122">
        <v>19657.491111968582</v>
      </c>
      <c r="J22" s="122">
        <v>23365.404817345934</v>
      </c>
      <c r="K22" s="122">
        <v>31124.678572166406</v>
      </c>
      <c r="L22" s="122">
        <v>36532.087713664805</v>
      </c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AA22" s="122">
        <v>220000</v>
      </c>
      <c r="AB22">
        <v>1</v>
      </c>
    </row>
    <row r="23" spans="1:28">
      <c r="A23" s="124">
        <v>74.045726175834105</v>
      </c>
      <c r="B23" s="122">
        <v>4924.1123965174447</v>
      </c>
      <c r="C23" s="122">
        <v>6477.3698768714694</v>
      </c>
      <c r="D23" s="122">
        <v>8516.1524212629774</v>
      </c>
      <c r="E23" s="122">
        <v>3232.2842001695535</v>
      </c>
      <c r="F23" s="122">
        <v>7798.1765361930557</v>
      </c>
      <c r="G23" s="122">
        <v>8758.0286212352585</v>
      </c>
      <c r="H23" s="122">
        <v>10984.738625360027</v>
      </c>
      <c r="I23" s="122">
        <v>10695.314362611613</v>
      </c>
      <c r="J23" s="122">
        <v>13876.955640832919</v>
      </c>
      <c r="K23" s="122">
        <v>14827.824244782791</v>
      </c>
      <c r="L23" s="122">
        <v>19151.880351848347</v>
      </c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AA23" s="122">
        <v>240000</v>
      </c>
      <c r="AB23">
        <v>2</v>
      </c>
    </row>
    <row r="24" spans="1:28">
      <c r="A24" s="124">
        <v>82.838540884735409</v>
      </c>
      <c r="B24" s="122">
        <v>4924.1123965174447</v>
      </c>
      <c r="C24" s="122">
        <v>3086.1447311019847</v>
      </c>
      <c r="D24" s="122">
        <v>3174.7830208775767</v>
      </c>
      <c r="E24" s="122">
        <v>6416.5534384416715</v>
      </c>
      <c r="F24" s="122">
        <v>7810.1421520238218</v>
      </c>
      <c r="G24" s="122">
        <v>6060.4811941184307</v>
      </c>
      <c r="H24" s="122">
        <v>10751.114858203444</v>
      </c>
      <c r="I24" s="122">
        <v>15519.329848387271</v>
      </c>
      <c r="J24" s="122">
        <v>17639.066897371187</v>
      </c>
      <c r="K24" s="122">
        <v>21021.710510798668</v>
      </c>
      <c r="L24" s="122">
        <v>22454.296871217375</v>
      </c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AA24" s="122">
        <v>260000</v>
      </c>
      <c r="AB24">
        <v>1</v>
      </c>
    </row>
    <row r="25" spans="1:28">
      <c r="A25" s="124">
        <v>124.15800195917339</v>
      </c>
      <c r="B25" s="122">
        <v>4924.1123965174447</v>
      </c>
      <c r="C25" s="122">
        <v>6751.8477887652825</v>
      </c>
      <c r="D25" s="122">
        <v>12840.588134745274</v>
      </c>
      <c r="E25" s="122">
        <v>18228.137890586084</v>
      </c>
      <c r="F25" s="122">
        <v>14008.061256018103</v>
      </c>
      <c r="G25" s="122">
        <v>21197.671965348531</v>
      </c>
      <c r="H25" s="122">
        <v>21960.107636765948</v>
      </c>
      <c r="I25" s="122">
        <v>23611.258230135441</v>
      </c>
      <c r="J25" s="122">
        <v>37396.631160483761</v>
      </c>
      <c r="K25" s="122">
        <v>21284.137988363716</v>
      </c>
      <c r="L25" s="122">
        <v>25275.007160199573</v>
      </c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AA25" s="122"/>
      <c r="AB25">
        <v>0</v>
      </c>
    </row>
    <row r="26" spans="1:28">
      <c r="A26" s="124">
        <v>94.365655387694147</v>
      </c>
      <c r="B26" s="122">
        <v>4924.1123965174447</v>
      </c>
      <c r="C26" s="122">
        <v>10000.373515767091</v>
      </c>
      <c r="D26" s="122">
        <v>4959.4773582972557</v>
      </c>
      <c r="E26" s="122">
        <v>3647.4494680229891</v>
      </c>
      <c r="F26" s="122">
        <v>4102.3171339439377</v>
      </c>
      <c r="G26" s="122">
        <v>6260.90144370083</v>
      </c>
      <c r="H26" s="122">
        <v>9883.9399314409729</v>
      </c>
      <c r="I26" s="122">
        <v>17291.832077564901</v>
      </c>
      <c r="J26" s="122">
        <v>16739.008272697134</v>
      </c>
      <c r="K26" s="122">
        <v>20996.264643085855</v>
      </c>
      <c r="L26" s="122">
        <v>26000.334115642701</v>
      </c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AA26" s="122"/>
    </row>
    <row r="27" spans="1:28">
      <c r="A27" s="124">
        <v>14.206898801794512</v>
      </c>
      <c r="B27" s="122">
        <v>4924.1123965174447</v>
      </c>
      <c r="C27" s="122">
        <v>3792.9254917734233</v>
      </c>
      <c r="D27" s="122">
        <v>2785.3590771397148</v>
      </c>
      <c r="E27" s="122">
        <v>6424.5574883687041</v>
      </c>
      <c r="F27" s="122">
        <v>8453.7305264774641</v>
      </c>
      <c r="G27" s="122">
        <v>6958.4192628041328</v>
      </c>
      <c r="H27" s="122">
        <v>311.53830084130914</v>
      </c>
      <c r="I27" s="122">
        <v>405.59713695751998</v>
      </c>
      <c r="J27" s="122">
        <v>3477.6950005051403</v>
      </c>
      <c r="K27" s="122">
        <v>5158.0429340601786</v>
      </c>
      <c r="L27" s="122">
        <v>2812.8332192434582</v>
      </c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AA27" s="122"/>
    </row>
    <row r="28" spans="1:28">
      <c r="A28" s="124">
        <v>165.01871824179756</v>
      </c>
      <c r="B28" s="122">
        <v>4924.1123965174447</v>
      </c>
      <c r="C28" s="122">
        <v>2845.7322542362854</v>
      </c>
      <c r="D28" s="122">
        <v>3599.0818171380979</v>
      </c>
      <c r="E28" s="122">
        <v>8567.4694715190853</v>
      </c>
      <c r="F28" s="122">
        <v>11365.536822792572</v>
      </c>
      <c r="G28" s="122">
        <v>22463.193331829672</v>
      </c>
      <c r="H28" s="122">
        <v>27741.365114094977</v>
      </c>
      <c r="I28" s="122">
        <v>42800.220819840302</v>
      </c>
      <c r="J28" s="122">
        <v>42118.307236199253</v>
      </c>
      <c r="K28" s="122">
        <v>35681.929115979714</v>
      </c>
      <c r="L28" s="122">
        <v>40110.332463410959</v>
      </c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AA28" s="122"/>
    </row>
    <row r="29" spans="1:28">
      <c r="A29" s="124">
        <v>29.505871868413461</v>
      </c>
      <c r="B29" s="122">
        <v>4924.1123965174447</v>
      </c>
      <c r="C29" s="122">
        <v>2923.6143613168297</v>
      </c>
      <c r="D29" s="122">
        <v>1977.3921624492514</v>
      </c>
      <c r="E29" s="122">
        <v>425.3114702913399</v>
      </c>
      <c r="F29" s="122">
        <v>159.97161529586992</v>
      </c>
      <c r="G29" s="122">
        <v>147.75483819497458</v>
      </c>
      <c r="H29" s="122">
        <v>4064.5538618145565</v>
      </c>
      <c r="I29" s="122">
        <v>5215.8200970306771</v>
      </c>
      <c r="J29" s="122">
        <v>7221.3884084794954</v>
      </c>
      <c r="K29" s="122">
        <v>6920.4726237658779</v>
      </c>
      <c r="L29" s="122">
        <v>10609.732002132951</v>
      </c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AA29" s="122"/>
    </row>
    <row r="30" spans="1:28">
      <c r="A30" s="124">
        <v>7.9579393867383486</v>
      </c>
      <c r="B30" s="122">
        <v>4924.1123965174447</v>
      </c>
      <c r="C30" s="122">
        <v>6789.7281159934373</v>
      </c>
      <c r="D30" s="122">
        <v>9451.5012700469943</v>
      </c>
      <c r="E30" s="122">
        <v>5785.8337744445926</v>
      </c>
      <c r="F30" s="122">
        <v>6537.6337429885534</v>
      </c>
      <c r="G30" s="122">
        <v>5003.9137570548392</v>
      </c>
      <c r="H30" s="122">
        <v>6022.5975940146327</v>
      </c>
      <c r="I30" s="122">
        <v>2008.3744251340622</v>
      </c>
      <c r="J30" s="122">
        <v>874.11002974238727</v>
      </c>
      <c r="K30" s="122">
        <v>772.8326736753279</v>
      </c>
      <c r="L30" s="122">
        <v>-989.10819969213298</v>
      </c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AA30" s="122"/>
    </row>
    <row r="31" spans="1:28">
      <c r="A31" s="124">
        <v>51.104444545427633</v>
      </c>
      <c r="B31" s="122">
        <v>4924.1123965174447</v>
      </c>
      <c r="C31" s="122">
        <v>4706.4276904846101</v>
      </c>
      <c r="D31" s="122">
        <v>7112.257983981317</v>
      </c>
      <c r="E31" s="122">
        <v>4578.6661991051715</v>
      </c>
      <c r="F31" s="122">
        <v>2917.7110972577848</v>
      </c>
      <c r="G31" s="122">
        <v>7256.3192636602289</v>
      </c>
      <c r="H31" s="122">
        <v>4933.8660628667058</v>
      </c>
      <c r="I31" s="122">
        <v>8264.8640576474463</v>
      </c>
      <c r="J31" s="122">
        <v>9266.088054523545</v>
      </c>
      <c r="K31" s="122">
        <v>8724.9082862496452</v>
      </c>
      <c r="L31" s="122">
        <v>14201.4863167695</v>
      </c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AA31" s="122"/>
    </row>
    <row r="32" spans="1:28">
      <c r="A32" s="124">
        <v>70.025245562443544</v>
      </c>
      <c r="B32" s="122">
        <v>4924.1123965174447</v>
      </c>
      <c r="C32" s="122">
        <v>1710.5780515606584</v>
      </c>
      <c r="D32" s="122">
        <v>4985.1444831964636</v>
      </c>
      <c r="E32" s="122">
        <v>1319.668879383702</v>
      </c>
      <c r="F32" s="122">
        <v>2705.086068618557</v>
      </c>
      <c r="G32" s="122">
        <v>6098.9197265012481</v>
      </c>
      <c r="H32" s="122">
        <v>7962.2468110451991</v>
      </c>
      <c r="I32" s="122">
        <v>11061.504834852369</v>
      </c>
      <c r="J32" s="122">
        <v>15208.705444940424</v>
      </c>
      <c r="K32" s="122">
        <v>20415.706480281533</v>
      </c>
      <c r="L32" s="122">
        <v>20557.846623393754</v>
      </c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AA32" s="122"/>
    </row>
    <row r="33" spans="1:27">
      <c r="A33" s="124">
        <v>97.495217857299679</v>
      </c>
      <c r="B33" s="122">
        <v>4924.1123965174447</v>
      </c>
      <c r="C33" s="122">
        <v>3554.0191020393086</v>
      </c>
      <c r="D33" s="122">
        <v>7492.9972645300986</v>
      </c>
      <c r="E33" s="122">
        <v>4498.212538591355</v>
      </c>
      <c r="F33" s="122">
        <v>7342.3257895280367</v>
      </c>
      <c r="G33" s="122">
        <v>10191.448289718777</v>
      </c>
      <c r="H33" s="122">
        <v>9956.4451301851113</v>
      </c>
      <c r="I33" s="122">
        <v>13273.348215604783</v>
      </c>
      <c r="J33" s="122">
        <v>23881.390142710155</v>
      </c>
      <c r="K33" s="122">
        <v>19008.23216667063</v>
      </c>
      <c r="L33" s="122">
        <v>26701.713859997853</v>
      </c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AA33" s="122"/>
    </row>
    <row r="34" spans="1:27">
      <c r="A34" s="124">
        <v>240.05809735603671</v>
      </c>
      <c r="B34" s="122">
        <v>4924.1123965174447</v>
      </c>
      <c r="C34" s="122">
        <v>8655.5256128403489</v>
      </c>
      <c r="D34" s="122">
        <v>11838.913859386956</v>
      </c>
      <c r="E34" s="122">
        <v>13277.604100593326</v>
      </c>
      <c r="F34" s="122">
        <v>16416.89871509542</v>
      </c>
      <c r="G34" s="122">
        <v>18930.327775036185</v>
      </c>
      <c r="H34" s="122">
        <v>30251.225493468177</v>
      </c>
      <c r="I34" s="122">
        <v>45676.091544607392</v>
      </c>
      <c r="J34" s="122">
        <v>54227.295819124818</v>
      </c>
      <c r="K34" s="122">
        <v>60888.339994303227</v>
      </c>
      <c r="L34" s="122">
        <v>59684.242067802901</v>
      </c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AA34" s="122"/>
    </row>
    <row r="35" spans="1:27">
      <c r="A35" s="124">
        <v>139.16751110662912</v>
      </c>
      <c r="B35" s="122">
        <v>4924.1123965174447</v>
      </c>
      <c r="C35" s="122">
        <v>7582.6988741398163</v>
      </c>
      <c r="D35" s="122">
        <v>12846.471530876428</v>
      </c>
      <c r="E35" s="122">
        <v>14560.133442851464</v>
      </c>
      <c r="F35" s="122">
        <v>28042.751249124649</v>
      </c>
      <c r="G35" s="122">
        <v>37944.339907720307</v>
      </c>
      <c r="H35" s="122">
        <v>67326.587456596171</v>
      </c>
      <c r="I35" s="122">
        <v>32184.137830645494</v>
      </c>
      <c r="J35" s="122">
        <v>37017.166948397491</v>
      </c>
      <c r="K35" s="122">
        <v>22390.614902310768</v>
      </c>
      <c r="L35" s="122">
        <v>19507.57355172094</v>
      </c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AA35" s="122"/>
    </row>
    <row r="36" spans="1:27">
      <c r="A36" s="124">
        <v>-7.1008431188367114</v>
      </c>
      <c r="B36" s="122">
        <v>4924.1123965174447</v>
      </c>
      <c r="C36" s="122">
        <v>4423.617988751208</v>
      </c>
      <c r="D36" s="122">
        <v>1925.878066330898</v>
      </c>
      <c r="E36" s="122">
        <v>3178.3472108928363</v>
      </c>
      <c r="F36" s="122">
        <v>2515.4690329015712</v>
      </c>
      <c r="G36" s="122">
        <v>2968.9093255089238</v>
      </c>
      <c r="H36" s="122">
        <v>3448.826798812901</v>
      </c>
      <c r="I36" s="122">
        <v>-737.68965247800088</v>
      </c>
      <c r="J36" s="122">
        <v>-368.14571751679614</v>
      </c>
      <c r="K36" s="122">
        <v>-1707.2065595495014</v>
      </c>
      <c r="L36" s="122">
        <v>-2185.3678802580262</v>
      </c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AA36" s="122"/>
    </row>
    <row r="37" spans="1:27">
      <c r="A37" s="124">
        <v>-19.630955829055868</v>
      </c>
      <c r="B37" s="122">
        <v>4924.1123965174447</v>
      </c>
      <c r="C37" s="122">
        <v>768.43407532294805</v>
      </c>
      <c r="D37" s="122">
        <v>812.86804343818494</v>
      </c>
      <c r="E37" s="122">
        <v>-828.33060193076062</v>
      </c>
      <c r="F37" s="122">
        <v>-1388.6197846564942</v>
      </c>
      <c r="G37" s="122">
        <v>-1217.0885587403477</v>
      </c>
      <c r="H37" s="122">
        <v>-1998.8448489805478</v>
      </c>
      <c r="I37" s="122">
        <v>-1386.8116619670886</v>
      </c>
      <c r="J37" s="122">
        <v>-1871.289372151783</v>
      </c>
      <c r="K37" s="122">
        <v>-2648.7779501489022</v>
      </c>
      <c r="L37" s="122">
        <v>-2860.9299616091589</v>
      </c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</row>
    <row r="38" spans="1:27">
      <c r="A38" s="124">
        <v>111.29523531408348</v>
      </c>
      <c r="B38" s="122">
        <v>4924.1123965174447</v>
      </c>
      <c r="C38" s="122">
        <v>4156.8616283122119</v>
      </c>
      <c r="D38" s="122">
        <v>7701.2114493967365</v>
      </c>
      <c r="E38" s="122">
        <v>7053.4043709476337</v>
      </c>
      <c r="F38" s="122">
        <v>4901.6967720768735</v>
      </c>
      <c r="G38" s="122">
        <v>8527.1143851169309</v>
      </c>
      <c r="H38" s="122">
        <v>11569.287339637156</v>
      </c>
      <c r="I38" s="122">
        <v>7097.4977230735385</v>
      </c>
      <c r="J38" s="122">
        <v>14809.01117699562</v>
      </c>
      <c r="K38" s="122">
        <v>17908.193098296662</v>
      </c>
      <c r="L38" s="122">
        <v>33522.48589851951</v>
      </c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</row>
    <row r="39" spans="1:27">
      <c r="A39" s="124">
        <v>127.34793035392495</v>
      </c>
      <c r="B39" s="122">
        <v>4924.1123965174447</v>
      </c>
      <c r="C39" s="122">
        <v>4850.9121391065783</v>
      </c>
      <c r="D39" s="122">
        <v>9404.3284844660266</v>
      </c>
      <c r="E39" s="122">
        <v>19398.653220260818</v>
      </c>
      <c r="F39" s="122">
        <v>20476.985081184248</v>
      </c>
      <c r="G39" s="122">
        <v>27447.784443927372</v>
      </c>
      <c r="H39" s="122">
        <v>36105.335007455629</v>
      </c>
      <c r="I39" s="122">
        <v>36010.751626491037</v>
      </c>
      <c r="J39" s="122">
        <v>18683.25881497658</v>
      </c>
      <c r="K39" s="122">
        <v>19873.892323300352</v>
      </c>
      <c r="L39" s="122">
        <v>24198.400697854384</v>
      </c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</row>
    <row r="40" spans="1:27">
      <c r="A40" s="124">
        <v>85.015902071281857</v>
      </c>
      <c r="B40" s="122">
        <v>4924.1123965174447</v>
      </c>
      <c r="C40" s="122">
        <v>5995.4379035133243</v>
      </c>
      <c r="D40" s="122">
        <v>3543.3873076482314</v>
      </c>
      <c r="E40" s="122">
        <v>3861.1911088024644</v>
      </c>
      <c r="F40" s="122">
        <v>3968.9390338175854</v>
      </c>
      <c r="G40" s="122">
        <v>2861.3009812668224</v>
      </c>
      <c r="H40" s="122">
        <v>6362.5866369902178</v>
      </c>
      <c r="I40" s="122">
        <v>12108.459857665901</v>
      </c>
      <c r="J40" s="122">
        <v>16744.860908517054</v>
      </c>
      <c r="K40" s="122">
        <v>22250.986185862304</v>
      </c>
      <c r="L40" s="122">
        <v>25085.894044966946</v>
      </c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</row>
    <row r="41" spans="1:27">
      <c r="A41" s="124">
        <v>252.83005436236775</v>
      </c>
      <c r="B41" s="122">
        <v>4924.1123965174447</v>
      </c>
      <c r="C41" s="122">
        <v>4690.2105633198116</v>
      </c>
      <c r="D41" s="122">
        <v>4327.2608461599775</v>
      </c>
      <c r="E41" s="122">
        <v>5520.6725149288613</v>
      </c>
      <c r="F41" s="122">
        <v>9871.2040737553834</v>
      </c>
      <c r="G41" s="122">
        <v>14218.598411562136</v>
      </c>
      <c r="H41" s="122">
        <v>18965.935042032146</v>
      </c>
      <c r="I41" s="122">
        <v>36928.147084640041</v>
      </c>
      <c r="J41" s="122">
        <v>44817.084380925349</v>
      </c>
      <c r="K41" s="122">
        <v>49864.049877302474</v>
      </c>
      <c r="L41" s="122">
        <v>74595.478056464737</v>
      </c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</row>
    <row r="42" spans="1:27">
      <c r="A42" s="124">
        <v>341.05265073066192</v>
      </c>
      <c r="B42" s="122">
        <v>4924.1123965174447</v>
      </c>
      <c r="C42" s="122">
        <v>7298.6727331536822</v>
      </c>
      <c r="D42" s="122">
        <v>4578.0750838004315</v>
      </c>
      <c r="E42" s="122">
        <v>8428.9445084708914</v>
      </c>
      <c r="F42" s="122">
        <v>13236.716961001432</v>
      </c>
      <c r="G42" s="122">
        <v>17833.014817269432</v>
      </c>
      <c r="H42" s="122">
        <v>20078.477076874809</v>
      </c>
      <c r="I42" s="122">
        <v>27207.869587363235</v>
      </c>
      <c r="J42" s="122">
        <v>38319.594028246043</v>
      </c>
      <c r="K42" s="122">
        <v>66495.011093862136</v>
      </c>
      <c r="L42" s="122">
        <v>105506.14506047788</v>
      </c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</row>
    <row r="43" spans="1:27">
      <c r="A43" s="124">
        <v>85.060611938075567</v>
      </c>
      <c r="B43" s="122">
        <v>4924.1123965174447</v>
      </c>
      <c r="C43" s="122">
        <v>5924.7076400239093</v>
      </c>
      <c r="D43" s="122">
        <v>10954.475295231339</v>
      </c>
      <c r="E43" s="122">
        <v>8746.2124521151545</v>
      </c>
      <c r="F43" s="122">
        <v>18190.640155502642</v>
      </c>
      <c r="G43" s="122">
        <v>11092.876647595695</v>
      </c>
      <c r="H43" s="122">
        <v>15317.591376291941</v>
      </c>
      <c r="I43" s="122">
        <v>25790.22985395843</v>
      </c>
      <c r="J43" s="122">
        <v>24585.588895111065</v>
      </c>
      <c r="K43" s="122">
        <v>21926.059498847335</v>
      </c>
      <c r="L43" s="122">
        <v>15635.172871185419</v>
      </c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</row>
    <row r="44" spans="1:27">
      <c r="A44" s="124">
        <v>-14.819620478578564</v>
      </c>
      <c r="B44" s="122">
        <v>4924.1123965174447</v>
      </c>
      <c r="C44" s="122">
        <v>3123.0290566177391</v>
      </c>
      <c r="D44" s="122">
        <v>-838.98956925120729</v>
      </c>
      <c r="E44" s="122">
        <v>-1482.3788990771709</v>
      </c>
      <c r="F44" s="122">
        <v>-1213.7672096278898</v>
      </c>
      <c r="G44" s="122">
        <v>-1674.4902531188241</v>
      </c>
      <c r="H44" s="122">
        <v>-959.52693331701357</v>
      </c>
      <c r="I44" s="122">
        <v>-528.52601476099062</v>
      </c>
      <c r="J44" s="122">
        <v>-1723.8665385584022</v>
      </c>
      <c r="K44" s="122">
        <v>-999.24245984941263</v>
      </c>
      <c r="L44" s="122">
        <v>-1511.3528593379933</v>
      </c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</row>
    <row r="45" spans="1:27">
      <c r="A45" s="124">
        <v>-11.263481994075692</v>
      </c>
      <c r="B45" s="122">
        <v>4924.1123965174447</v>
      </c>
      <c r="C45" s="122">
        <v>2701.1421703086799</v>
      </c>
      <c r="D45" s="122">
        <v>2536.0946699434489</v>
      </c>
      <c r="E45" s="122">
        <v>-759.35728727611877</v>
      </c>
      <c r="F45" s="122">
        <v>1190.3596576964637</v>
      </c>
      <c r="G45" s="122">
        <v>1956.8983314564639</v>
      </c>
      <c r="H45" s="122">
        <v>143.19612788675659</v>
      </c>
      <c r="I45" s="122">
        <v>-1753.844939461565</v>
      </c>
      <c r="J45" s="122">
        <v>-2661.3515888954507</v>
      </c>
      <c r="K45" s="122">
        <v>-2248.606519360012</v>
      </c>
      <c r="L45" s="122">
        <v>-1564.8099435759323</v>
      </c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</row>
    <row r="46" spans="1:27">
      <c r="A46" s="124">
        <v>11.700376539666909</v>
      </c>
      <c r="B46" s="122">
        <v>4924.1123965174447</v>
      </c>
      <c r="C46" s="122">
        <v>995.2436306054833</v>
      </c>
      <c r="D46" s="122">
        <v>3148.2668690240907</v>
      </c>
      <c r="E46" s="122">
        <v>1574.0185119681237</v>
      </c>
      <c r="F46" s="122">
        <v>3586.905181550238</v>
      </c>
      <c r="G46" s="122">
        <v>3063.6882932248336</v>
      </c>
      <c r="H46" s="122">
        <v>376.13198929016653</v>
      </c>
      <c r="I46" s="122">
        <v>2547.9006566373355</v>
      </c>
      <c r="J46" s="122">
        <v>2625.6451616071599</v>
      </c>
      <c r="K46" s="122">
        <v>5221.2581544141576</v>
      </c>
      <c r="L46" s="122">
        <v>4436.4494854341174</v>
      </c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</row>
    <row r="47" spans="1:27">
      <c r="A47" s="124">
        <v>134.94996366178881</v>
      </c>
      <c r="B47" s="122">
        <v>4924.1123965174447</v>
      </c>
      <c r="C47" s="122">
        <v>5537.7441243454286</v>
      </c>
      <c r="D47" s="122">
        <v>6197.1753632705695</v>
      </c>
      <c r="E47" s="122">
        <v>7002.4452354464502</v>
      </c>
      <c r="F47" s="122">
        <v>9097.7890131324293</v>
      </c>
      <c r="G47" s="122">
        <v>12563.190854661942</v>
      </c>
      <c r="H47" s="122">
        <v>13172.365124570475</v>
      </c>
      <c r="I47" s="122">
        <v>21055.68675381098</v>
      </c>
      <c r="J47" s="122">
        <v>20017.79617489806</v>
      </c>
      <c r="K47" s="122">
        <v>42035.679900027506</v>
      </c>
      <c r="L47" s="122">
        <v>36228.826408003122</v>
      </c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</row>
    <row r="48" spans="1:27">
      <c r="A48" s="124">
        <v>117.2297958857917</v>
      </c>
      <c r="B48" s="122">
        <v>4924.1123965174447</v>
      </c>
      <c r="C48" s="122">
        <v>4696.5008976132722</v>
      </c>
      <c r="D48" s="122">
        <v>9339.8887336740117</v>
      </c>
      <c r="E48" s="122">
        <v>11139.54165495638</v>
      </c>
      <c r="F48" s="122">
        <v>11253.939936439845</v>
      </c>
      <c r="G48" s="122">
        <v>9701.7563137442066</v>
      </c>
      <c r="H48" s="122">
        <v>18586.369156792822</v>
      </c>
      <c r="I48" s="122">
        <v>22524.708597757523</v>
      </c>
      <c r="J48" s="122">
        <v>24009.972119699447</v>
      </c>
      <c r="K48" s="122">
        <v>40098.730023376047</v>
      </c>
      <c r="L48" s="122">
        <v>27358.308062918422</v>
      </c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</row>
    <row r="49" spans="1:25">
      <c r="A49" s="124">
        <v>152.21414300343784</v>
      </c>
      <c r="B49" s="122">
        <v>4924.1123965174447</v>
      </c>
      <c r="C49" s="122">
        <v>5034.827945848514</v>
      </c>
      <c r="D49" s="122">
        <v>6934.5627074954555</v>
      </c>
      <c r="E49" s="122">
        <v>8818.1357115451046</v>
      </c>
      <c r="F49" s="122">
        <v>3966.9656191071153</v>
      </c>
      <c r="G49" s="122">
        <v>5430.0311275473196</v>
      </c>
      <c r="H49" s="122">
        <v>9388.3054919362603</v>
      </c>
      <c r="I49" s="122">
        <v>16993.169561788909</v>
      </c>
      <c r="J49" s="122">
        <v>19768.192576125166</v>
      </c>
      <c r="K49" s="122">
        <v>24183.006314765964</v>
      </c>
      <c r="L49" s="122">
        <v>47012.616567789009</v>
      </c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</row>
    <row r="50" spans="1:25">
      <c r="A50" s="124">
        <v>28.649784052859079</v>
      </c>
      <c r="B50" s="122">
        <v>4924.1123965174447</v>
      </c>
      <c r="C50" s="122">
        <v>6001.553460259589</v>
      </c>
      <c r="D50" s="122">
        <v>1625.1391217964947</v>
      </c>
      <c r="E50" s="122">
        <v>3860.2135091451655</v>
      </c>
      <c r="F50" s="122">
        <v>4397.5865599382305</v>
      </c>
      <c r="G50" s="122">
        <v>6706.5457769238783</v>
      </c>
      <c r="H50" s="122">
        <v>5714.605082108872</v>
      </c>
      <c r="I50" s="122">
        <v>4912.601315539252</v>
      </c>
      <c r="J50" s="122">
        <v>5175.6480463084372</v>
      </c>
      <c r="K50" s="122">
        <v>7576.5760059987297</v>
      </c>
      <c r="L50" s="122">
        <v>7423.3532525687297</v>
      </c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</row>
    <row r="51" spans="1:25">
      <c r="A51" s="124">
        <v>59.756318951476104</v>
      </c>
      <c r="B51" s="122">
        <v>4924.1123965174447</v>
      </c>
      <c r="C51" s="122">
        <v>4862.7123003731995</v>
      </c>
      <c r="D51" s="122">
        <v>5831.0742711120529</v>
      </c>
      <c r="E51" s="122">
        <v>7620.2881465838054</v>
      </c>
      <c r="F51" s="122">
        <v>9948.4965942949366</v>
      </c>
      <c r="G51" s="122">
        <v>4136.9504682373408</v>
      </c>
      <c r="H51" s="122">
        <v>5097.4490111844134</v>
      </c>
      <c r="I51" s="122">
        <v>6843.0630009037031</v>
      </c>
      <c r="J51" s="122">
        <v>11386.03807764566</v>
      </c>
      <c r="K51" s="122">
        <v>16805.483552212125</v>
      </c>
      <c r="L51" s="122">
        <v>15550.973595773903</v>
      </c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</row>
    <row r="52" spans="1:25">
      <c r="A52" s="124">
        <v>49.364854888859313</v>
      </c>
      <c r="B52" s="122">
        <v>4924.1123965174447</v>
      </c>
      <c r="C52" s="122">
        <v>6585.4998630231712</v>
      </c>
      <c r="D52" s="122">
        <v>11741.894133246326</v>
      </c>
      <c r="E52" s="122">
        <v>7185.8128166363003</v>
      </c>
      <c r="F52" s="122">
        <v>6273.2847417390803</v>
      </c>
      <c r="G52" s="122">
        <v>4792.0037744614256</v>
      </c>
      <c r="H52" s="122">
        <v>7358.2960806398423</v>
      </c>
      <c r="I52" s="122">
        <v>10398.312557350997</v>
      </c>
      <c r="J52" s="122">
        <v>7638.1202132288436</v>
      </c>
      <c r="K52" s="122">
        <v>6452.1469429434492</v>
      </c>
      <c r="L52" s="122">
        <v>11429.327837938386</v>
      </c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</row>
    <row r="53" spans="1:25">
      <c r="A53" s="124">
        <v>40.394049076353319</v>
      </c>
      <c r="B53" s="122">
        <v>4924.1123965174447</v>
      </c>
      <c r="C53" s="122">
        <v>5107.3184243238538</v>
      </c>
      <c r="D53" s="122">
        <v>6910.5139264732716</v>
      </c>
      <c r="E53" s="122">
        <v>7101.0465490015795</v>
      </c>
      <c r="F53" s="122">
        <v>5236.2224251135322</v>
      </c>
      <c r="G53" s="122">
        <v>5490.6873615497043</v>
      </c>
      <c r="H53" s="122">
        <v>5095.8899517093232</v>
      </c>
      <c r="I53" s="122">
        <v>6836.7192351903268</v>
      </c>
      <c r="J53" s="122">
        <v>12640.06187899808</v>
      </c>
      <c r="K53" s="122">
        <v>8292.123246043011</v>
      </c>
      <c r="L53" s="122">
        <v>9407.1505164218306</v>
      </c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</row>
    <row r="54" spans="1:25">
      <c r="A54" s="124">
        <v>648.96247225913794</v>
      </c>
      <c r="B54" s="122">
        <v>4924.1123965174447</v>
      </c>
      <c r="C54" s="122">
        <v>14890.284136275535</v>
      </c>
      <c r="D54" s="122">
        <v>18586.204182561727</v>
      </c>
      <c r="E54" s="122">
        <v>18107.134590725167</v>
      </c>
      <c r="F54" s="122">
        <v>26806.388323801133</v>
      </c>
      <c r="G54" s="122">
        <v>35459.28361903489</v>
      </c>
      <c r="H54" s="122">
        <v>49764.997806779844</v>
      </c>
      <c r="I54" s="122">
        <v>93641.322726239872</v>
      </c>
      <c r="J54" s="122">
        <v>119334.73597428297</v>
      </c>
      <c r="K54" s="122">
        <v>137644.11593301341</v>
      </c>
      <c r="L54" s="122">
        <v>181915.64789085576</v>
      </c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</row>
    <row r="55" spans="1:25">
      <c r="A55" s="124">
        <v>-9.6587162426475217</v>
      </c>
      <c r="B55" s="122">
        <v>4924.1123965174447</v>
      </c>
      <c r="C55" s="122">
        <v>1283.160502425224</v>
      </c>
      <c r="D55" s="122">
        <v>221.87819843827037</v>
      </c>
      <c r="E55" s="122">
        <v>-1430.527665236169</v>
      </c>
      <c r="F55" s="122">
        <v>-1267.4578131500143</v>
      </c>
      <c r="G55" s="122">
        <v>-128.06585980523232</v>
      </c>
      <c r="H55" s="122">
        <v>106.74253559284352</v>
      </c>
      <c r="I55" s="122">
        <v>-510.96624789340922</v>
      </c>
      <c r="J55" s="122">
        <v>-717.20292740316017</v>
      </c>
      <c r="K55" s="122">
        <v>1707.3834323185847</v>
      </c>
      <c r="L55" s="122">
        <v>-144.1428307619617</v>
      </c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</row>
    <row r="56" spans="1:25">
      <c r="A56" s="124">
        <v>95.286783885094437</v>
      </c>
      <c r="B56" s="122">
        <v>4924.1123965174447</v>
      </c>
      <c r="C56" s="122">
        <v>8450.8358638906629</v>
      </c>
      <c r="D56" s="122">
        <v>12984.129226701149</v>
      </c>
      <c r="E56" s="122">
        <v>15934.931119863169</v>
      </c>
      <c r="F56" s="122">
        <v>16628.364226214719</v>
      </c>
      <c r="G56" s="122">
        <v>12291.540346039263</v>
      </c>
      <c r="H56" s="122">
        <v>7174.4532658088883</v>
      </c>
      <c r="I56" s="122">
        <v>8929.5193226725314</v>
      </c>
      <c r="J56" s="122">
        <v>11731.006931802147</v>
      </c>
      <c r="K56" s="122">
        <v>16727.893695864957</v>
      </c>
      <c r="L56" s="122">
        <v>22386.639795512288</v>
      </c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</row>
    <row r="57" spans="1:25">
      <c r="A57" s="124">
        <v>122.54116123675233</v>
      </c>
      <c r="B57" s="122">
        <v>4924.1123965174447</v>
      </c>
      <c r="C57" s="122">
        <v>8252.4765138461553</v>
      </c>
      <c r="D57" s="122">
        <v>12507.135239656025</v>
      </c>
      <c r="E57" s="122">
        <v>17654.855942214923</v>
      </c>
      <c r="F57" s="122">
        <v>14287.762230348781</v>
      </c>
      <c r="G57" s="122">
        <v>19655.656606402565</v>
      </c>
      <c r="H57" s="122">
        <v>25136.699519579535</v>
      </c>
      <c r="I57" s="122">
        <v>35240.956926647872</v>
      </c>
      <c r="J57" s="122">
        <v>42144.11487218667</v>
      </c>
      <c r="K57" s="122">
        <v>23682.471253655443</v>
      </c>
      <c r="L57" s="122">
        <v>22103.289689741196</v>
      </c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</row>
    <row r="58" spans="1:25">
      <c r="A58" s="124">
        <v>329.4197982815889</v>
      </c>
      <c r="B58" s="122">
        <v>4924.1123965174447</v>
      </c>
      <c r="C58" s="122">
        <v>7593.4801876484307</v>
      </c>
      <c r="D58" s="122">
        <v>10153.060988543833</v>
      </c>
      <c r="E58" s="122">
        <v>17094.336842154145</v>
      </c>
      <c r="F58" s="122">
        <v>27830.374405094688</v>
      </c>
      <c r="G58" s="122">
        <v>30597.565468338718</v>
      </c>
      <c r="H58" s="122">
        <v>41656.377669872854</v>
      </c>
      <c r="I58" s="122">
        <v>46463.929465135123</v>
      </c>
      <c r="J58" s="122">
        <v>46369.603507252876</v>
      </c>
      <c r="K58" s="122">
        <v>47598.37089097243</v>
      </c>
      <c r="L58" s="122">
        <v>90049.732632749103</v>
      </c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</row>
    <row r="59" spans="1:25">
      <c r="A59" s="124">
        <v>120.81910784621589</v>
      </c>
      <c r="B59" s="122">
        <v>4924.1123965174447</v>
      </c>
      <c r="C59" s="122">
        <v>2348.2416975090555</v>
      </c>
      <c r="D59" s="122">
        <v>3980.335659954133</v>
      </c>
      <c r="E59" s="122">
        <v>4174.4747278804352</v>
      </c>
      <c r="F59" s="122">
        <v>12478.927180798837</v>
      </c>
      <c r="G59" s="122">
        <v>13364.238978505164</v>
      </c>
      <c r="H59" s="122">
        <v>24306.302561165387</v>
      </c>
      <c r="I59" s="122">
        <v>20587.040045703954</v>
      </c>
      <c r="J59" s="122">
        <v>24255.124321264335</v>
      </c>
      <c r="K59" s="122">
        <v>32662.772421544425</v>
      </c>
      <c r="L59" s="122">
        <v>30939.891700910543</v>
      </c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</row>
    <row r="60" spans="1:25">
      <c r="A60" s="124">
        <v>4.8480174524142212</v>
      </c>
      <c r="B60" s="122">
        <v>4924.1123965174447</v>
      </c>
      <c r="C60" s="122">
        <v>4639.0798985121237</v>
      </c>
      <c r="D60" s="122">
        <v>1422.307406653319</v>
      </c>
      <c r="E60" s="122">
        <v>455.82644002062443</v>
      </c>
      <c r="F60" s="122">
        <v>1247.8603806270066</v>
      </c>
      <c r="G60" s="122">
        <v>-115.81860082348248</v>
      </c>
      <c r="H60" s="122">
        <v>-798.35844531560406</v>
      </c>
      <c r="I60" s="122">
        <v>-1920.3900129412532</v>
      </c>
      <c r="J60" s="122">
        <v>-562.81800801149984</v>
      </c>
      <c r="K60" s="122">
        <v>-43.407049350554189</v>
      </c>
      <c r="L60" s="122">
        <v>4041.0734773761069</v>
      </c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</row>
    <row r="61" spans="1:25">
      <c r="A61" s="124">
        <v>101.46675738124077</v>
      </c>
      <c r="B61" s="122">
        <v>4924.1123965174447</v>
      </c>
      <c r="C61" s="122">
        <v>2998.4661650129883</v>
      </c>
      <c r="D61" s="122">
        <v>1086.9743287262891</v>
      </c>
      <c r="E61" s="122">
        <v>404.08587830062697</v>
      </c>
      <c r="F61" s="122">
        <v>2651.4840790754643</v>
      </c>
      <c r="G61" s="122">
        <v>6592.0885117840207</v>
      </c>
      <c r="H61" s="122">
        <v>11736.878787218227</v>
      </c>
      <c r="I61" s="122">
        <v>20730.332867924415</v>
      </c>
      <c r="J61" s="122">
        <v>27194.083406894646</v>
      </c>
      <c r="K61" s="122">
        <v>33641.686045893191</v>
      </c>
      <c r="L61" s="122">
        <v>28596.601799577089</v>
      </c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</row>
    <row r="62" spans="1:25">
      <c r="A62" s="124">
        <v>55.979142983930167</v>
      </c>
      <c r="B62" s="122">
        <v>4924.1123965174447</v>
      </c>
      <c r="C62" s="122">
        <v>6254.6123826991934</v>
      </c>
      <c r="D62" s="122">
        <v>15474.377948631758</v>
      </c>
      <c r="E62" s="122">
        <v>7011.1753688455901</v>
      </c>
      <c r="F62" s="122">
        <v>10028.009659434247</v>
      </c>
      <c r="G62" s="122">
        <v>10174.621197973367</v>
      </c>
      <c r="H62" s="122">
        <v>8389.2031492768256</v>
      </c>
      <c r="I62" s="122">
        <v>4568.3358328990598</v>
      </c>
      <c r="J62" s="122">
        <v>8087.7187247221609</v>
      </c>
      <c r="K62" s="122">
        <v>7702.1996739392362</v>
      </c>
      <c r="L62" s="122">
        <v>12280.825261268077</v>
      </c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</row>
    <row r="63" spans="1:25">
      <c r="A63" s="124">
        <v>78.324945564689926</v>
      </c>
      <c r="B63" s="122">
        <v>4924.1123965174447</v>
      </c>
      <c r="C63" s="122">
        <v>3021.0610588119262</v>
      </c>
      <c r="D63" s="122">
        <v>7259.0043038544281</v>
      </c>
      <c r="E63" s="122">
        <v>5283.8746158648282</v>
      </c>
      <c r="F63" s="122">
        <v>6448.5724895288768</v>
      </c>
      <c r="G63" s="122">
        <v>13786.157409124698</v>
      </c>
      <c r="H63" s="122">
        <v>4863.1783801647634</v>
      </c>
      <c r="I63" s="122">
        <v>8494.0769064798678</v>
      </c>
      <c r="J63" s="122">
        <v>9467.6055489663631</v>
      </c>
      <c r="K63" s="122">
        <v>13999.186195602368</v>
      </c>
      <c r="L63" s="122">
        <v>22506.40118366111</v>
      </c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</row>
    <row r="64" spans="1:25">
      <c r="A64" s="124">
        <v>155.65582654471959</v>
      </c>
      <c r="B64" s="122">
        <v>4924.1123965174447</v>
      </c>
      <c r="C64" s="122">
        <v>6595.6186880933637</v>
      </c>
      <c r="D64" s="122">
        <v>7655.2682958275436</v>
      </c>
      <c r="E64" s="122">
        <v>9152.8736156511459</v>
      </c>
      <c r="F64" s="122">
        <v>9358.1874278377618</v>
      </c>
      <c r="G64" s="122">
        <v>8727.4920872801831</v>
      </c>
      <c r="H64" s="122">
        <v>9967.871670045397</v>
      </c>
      <c r="I64" s="122">
        <v>23346.72706311318</v>
      </c>
      <c r="J64" s="122">
        <v>29647.488297445081</v>
      </c>
      <c r="K64" s="122">
        <v>22692.851294233235</v>
      </c>
      <c r="L64" s="122">
        <v>44631.996842011897</v>
      </c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</row>
    <row r="65" spans="1:25">
      <c r="A65" s="124">
        <v>401.75017118148753</v>
      </c>
      <c r="B65" s="122">
        <v>4924.1123965174447</v>
      </c>
      <c r="C65" s="122">
        <v>8730.9356235950399</v>
      </c>
      <c r="D65" s="122">
        <v>8079.2710121227428</v>
      </c>
      <c r="E65" s="122">
        <v>17552.640629491572</v>
      </c>
      <c r="F65" s="122">
        <v>29032.701743181751</v>
      </c>
      <c r="G65" s="122">
        <v>29677.343538609537</v>
      </c>
      <c r="H65" s="122">
        <v>38386.724285186494</v>
      </c>
      <c r="I65" s="122">
        <v>53555.434249112172</v>
      </c>
      <c r="J65" s="122">
        <v>78137.029156430697</v>
      </c>
      <c r="K65" s="122">
        <v>84408.366659780746</v>
      </c>
      <c r="L65" s="122">
        <v>109547.92451908912</v>
      </c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</row>
    <row r="66" spans="1:25">
      <c r="A66" s="124">
        <v>108.94059071069401</v>
      </c>
      <c r="B66" s="122">
        <v>4924.1123965174447</v>
      </c>
      <c r="C66" s="122">
        <v>5831.4553892918375</v>
      </c>
      <c r="D66" s="122">
        <v>10495.509598065239</v>
      </c>
      <c r="E66" s="122">
        <v>13117.74805440638</v>
      </c>
      <c r="F66" s="122">
        <v>14776.927980098382</v>
      </c>
      <c r="G66" s="122">
        <v>10444.891115602379</v>
      </c>
      <c r="H66" s="122">
        <v>15644.229982284578</v>
      </c>
      <c r="I66" s="122">
        <v>19654.984345285426</v>
      </c>
      <c r="J66" s="122">
        <v>25215.049052242979</v>
      </c>
      <c r="K66" s="122">
        <v>30600.361337287817</v>
      </c>
      <c r="L66" s="122">
        <v>24316.305340821509</v>
      </c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</row>
    <row r="67" spans="1:25">
      <c r="A67" s="124">
        <v>137.57852305822055</v>
      </c>
      <c r="B67" s="122">
        <v>4924.1123965174447</v>
      </c>
      <c r="C67" s="122">
        <v>5500.8253401674519</v>
      </c>
      <c r="D67" s="122">
        <v>8477.0393861152079</v>
      </c>
      <c r="E67" s="122">
        <v>9857.2394932577117</v>
      </c>
      <c r="F67" s="122">
        <v>11530.259531407908</v>
      </c>
      <c r="G67" s="122">
        <v>20290.667454367129</v>
      </c>
      <c r="H67" s="122">
        <v>28971.823628695092</v>
      </c>
      <c r="I67" s="122">
        <v>28698.187374787769</v>
      </c>
      <c r="J67" s="122">
        <v>19021.200575968505</v>
      </c>
      <c r="K67" s="122">
        <v>21969.192504187144</v>
      </c>
      <c r="L67" s="122">
        <v>33836.187022187405</v>
      </c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</row>
    <row r="68" spans="1:25">
      <c r="A68" s="124">
        <v>307.2899544579189</v>
      </c>
      <c r="B68" s="122">
        <v>4924.1123965174447</v>
      </c>
      <c r="C68" s="122">
        <v>10803.983959271205</v>
      </c>
      <c r="D68" s="122">
        <v>15974.845187200954</v>
      </c>
      <c r="E68" s="122">
        <v>15443.806611840133</v>
      </c>
      <c r="F68" s="122">
        <v>20205.619690163247</v>
      </c>
      <c r="G68" s="122">
        <v>28919.688718143756</v>
      </c>
      <c r="H68" s="122">
        <v>41447.535848313615</v>
      </c>
      <c r="I68" s="122">
        <v>30383.984801662256</v>
      </c>
      <c r="J68" s="122">
        <v>46427.767281882079</v>
      </c>
      <c r="K68" s="122">
        <v>57713.588840325596</v>
      </c>
      <c r="L68" s="122">
        <v>82664.488387167235</v>
      </c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</row>
    <row r="69" spans="1:25">
      <c r="A69" s="124">
        <v>172.52826773369071</v>
      </c>
      <c r="B69" s="122">
        <v>4924.1123965174447</v>
      </c>
      <c r="C69" s="122">
        <v>4104.4370309926016</v>
      </c>
      <c r="D69" s="122">
        <v>9118.1634066443057</v>
      </c>
      <c r="E69" s="122">
        <v>15884.650630858254</v>
      </c>
      <c r="F69" s="122">
        <v>24031.436616245614</v>
      </c>
      <c r="G69" s="122">
        <v>20032.391314288339</v>
      </c>
      <c r="H69" s="122">
        <v>23146.245051142359</v>
      </c>
      <c r="I69" s="122">
        <v>21708.093064204913</v>
      </c>
      <c r="J69" s="122">
        <v>32249.21695841015</v>
      </c>
      <c r="K69" s="122">
        <v>37835.674688490981</v>
      </c>
      <c r="L69" s="122">
        <v>42629.881858575005</v>
      </c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</row>
    <row r="70" spans="1:25">
      <c r="A70" s="124">
        <v>97.787168688005181</v>
      </c>
      <c r="B70" s="122">
        <v>4924.1123965174447</v>
      </c>
      <c r="C70" s="122">
        <v>2621.0298914356954</v>
      </c>
      <c r="D70" s="122">
        <v>4385.0887907752331</v>
      </c>
      <c r="E70" s="122">
        <v>7187.8298119851188</v>
      </c>
      <c r="F70" s="122">
        <v>10994.989940307814</v>
      </c>
      <c r="G70" s="122">
        <v>11646.590479161699</v>
      </c>
      <c r="H70" s="122">
        <v>12615.035354650223</v>
      </c>
      <c r="I70" s="122">
        <v>14158.957444928819</v>
      </c>
      <c r="J70" s="122">
        <v>24333.863106705525</v>
      </c>
      <c r="K70" s="122">
        <v>23064.551665175</v>
      </c>
      <c r="L70" s="122">
        <v>25422.425504702511</v>
      </c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</row>
    <row r="71" spans="1:25">
      <c r="A71" s="124">
        <v>350.89666210034414</v>
      </c>
      <c r="B71" s="122">
        <v>4924.1123965174447</v>
      </c>
      <c r="C71" s="122">
        <v>12861.214980667184</v>
      </c>
      <c r="D71" s="122">
        <v>8300.5447583654623</v>
      </c>
      <c r="E71" s="122">
        <v>10148.989001685462</v>
      </c>
      <c r="F71" s="122">
        <v>12576.265808629512</v>
      </c>
      <c r="G71" s="122">
        <v>11698.638444802556</v>
      </c>
      <c r="H71" s="122">
        <v>14773.991254824581</v>
      </c>
      <c r="I71" s="122">
        <v>25669.720547644545</v>
      </c>
      <c r="J71" s="122">
        <v>50356.763989003259</v>
      </c>
      <c r="K71" s="122">
        <v>82574.578919483552</v>
      </c>
      <c r="L71" s="122">
        <v>105933.26803366574</v>
      </c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</row>
    <row r="72" spans="1:25">
      <c r="A72" s="124">
        <v>65.572092713505</v>
      </c>
      <c r="B72" s="122">
        <v>4924.1123965174447</v>
      </c>
      <c r="C72" s="122">
        <v>11522.90346885828</v>
      </c>
      <c r="D72" s="122">
        <v>12004.692777845019</v>
      </c>
      <c r="E72" s="122">
        <v>4307.7683506721023</v>
      </c>
      <c r="F72" s="122">
        <v>3430.7065784283795</v>
      </c>
      <c r="G72" s="122">
        <v>5850.7853890571841</v>
      </c>
      <c r="H72" s="122">
        <v>6584.1244546836588</v>
      </c>
      <c r="I72" s="122">
        <v>3777.8220327946528</v>
      </c>
      <c r="J72" s="122">
        <v>6005.6578811396012</v>
      </c>
      <c r="K72" s="122">
        <v>12437.440580258593</v>
      </c>
      <c r="L72" s="122">
        <v>17684.597453037848</v>
      </c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</row>
    <row r="73" spans="1:25">
      <c r="A73" s="124">
        <v>71.913242434024454</v>
      </c>
      <c r="B73" s="122">
        <v>4924.1123965174447</v>
      </c>
      <c r="C73" s="122">
        <v>3412.3025401301475</v>
      </c>
      <c r="D73" s="122">
        <v>2394.6448579231146</v>
      </c>
      <c r="E73" s="122">
        <v>6890.1903721221151</v>
      </c>
      <c r="F73" s="122">
        <v>7306.4353576081048</v>
      </c>
      <c r="G73" s="122">
        <v>6151.0961782688664</v>
      </c>
      <c r="H73" s="122">
        <v>8305.7859493869091</v>
      </c>
      <c r="I73" s="122">
        <v>9614.2347591346443</v>
      </c>
      <c r="J73" s="122">
        <v>5050.1428730726111</v>
      </c>
      <c r="K73" s="122">
        <v>9275.5249071569106</v>
      </c>
      <c r="L73" s="122">
        <v>22029.949996175037</v>
      </c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</row>
    <row r="74" spans="1:25">
      <c r="A74" s="124">
        <v>239.06268498964329</v>
      </c>
      <c r="B74" s="122">
        <v>4924.1123965174447</v>
      </c>
      <c r="C74" s="122">
        <v>10385.982977840846</v>
      </c>
      <c r="D74" s="122">
        <v>13717.226513517922</v>
      </c>
      <c r="E74" s="122">
        <v>21488.13796301368</v>
      </c>
      <c r="F74" s="122">
        <v>18322.020993313516</v>
      </c>
      <c r="G74" s="122">
        <v>32736.464619230719</v>
      </c>
      <c r="H74" s="122">
        <v>32194.444094869534</v>
      </c>
      <c r="I74" s="122">
        <v>27202.945594162655</v>
      </c>
      <c r="J74" s="122">
        <v>47232.730273264307</v>
      </c>
      <c r="K74" s="122">
        <v>47790.760646231785</v>
      </c>
      <c r="L74" s="122">
        <v>58847.692535072638</v>
      </c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</row>
    <row r="75" spans="1:25">
      <c r="A75" s="124">
        <v>352.64444233333023</v>
      </c>
      <c r="B75" s="122">
        <v>4924.1123965174447</v>
      </c>
      <c r="C75" s="122">
        <v>11511.362785137637</v>
      </c>
      <c r="D75" s="122">
        <v>11385.761081389122</v>
      </c>
      <c r="E75" s="122">
        <v>12908.026195324739</v>
      </c>
      <c r="F75" s="122">
        <v>20611.485210199051</v>
      </c>
      <c r="G75" s="122">
        <v>28653.806392120794</v>
      </c>
      <c r="H75" s="122">
        <v>44122.044078535691</v>
      </c>
      <c r="I75" s="122">
        <v>77464.774107361925</v>
      </c>
      <c r="J75" s="122">
        <v>72334.241506522478</v>
      </c>
      <c r="K75" s="122">
        <v>70120.604456607442</v>
      </c>
      <c r="L75" s="122">
        <v>90664.847878247921</v>
      </c>
    </row>
    <row r="76" spans="1:25">
      <c r="A76" s="124">
        <v>646.36489330694462</v>
      </c>
      <c r="B76" s="122">
        <v>4924.1123965174447</v>
      </c>
      <c r="C76" s="122">
        <v>12587.01974870951</v>
      </c>
      <c r="D76" s="122">
        <v>16430.875377438304</v>
      </c>
      <c r="E76" s="122">
        <v>35313.315976914928</v>
      </c>
      <c r="F76" s="122">
        <v>39440.442218273383</v>
      </c>
      <c r="G76" s="122">
        <v>47816.222863624855</v>
      </c>
      <c r="H76" s="122">
        <v>83953.033688519296</v>
      </c>
      <c r="I76" s="122">
        <v>91513.863841503393</v>
      </c>
      <c r="J76" s="122">
        <v>122018.98529125158</v>
      </c>
      <c r="K76" s="122">
        <v>176978.63549553091</v>
      </c>
      <c r="L76" s="122">
        <v>166443.19217688311</v>
      </c>
    </row>
    <row r="77" spans="1:25">
      <c r="A77" s="124">
        <v>74.008652902677255</v>
      </c>
      <c r="B77" s="122">
        <v>4924.1123965174447</v>
      </c>
      <c r="C77" s="122">
        <v>6725.730677360938</v>
      </c>
      <c r="D77" s="122">
        <v>9303.3183843976785</v>
      </c>
      <c r="E77" s="122">
        <v>11549.46223574049</v>
      </c>
      <c r="F77" s="122">
        <v>15274.948565583742</v>
      </c>
      <c r="G77" s="122">
        <v>14395.311945672878</v>
      </c>
      <c r="H77" s="122">
        <v>12766.677445522102</v>
      </c>
      <c r="I77" s="122">
        <v>6919.9773499502026</v>
      </c>
      <c r="J77" s="122">
        <v>9440.4920595817839</v>
      </c>
      <c r="K77" s="122">
        <v>9754.924331287204</v>
      </c>
      <c r="L77" s="122">
        <v>16643.373171921405</v>
      </c>
    </row>
    <row r="78" spans="1:25">
      <c r="A78" s="124">
        <v>92.705418611095538</v>
      </c>
      <c r="B78" s="122">
        <v>4924.1123965174447</v>
      </c>
      <c r="C78" s="122">
        <v>7246.7472980431212</v>
      </c>
      <c r="D78" s="122">
        <v>10834.965615955747</v>
      </c>
      <c r="E78" s="122">
        <v>8185.5645089711124</v>
      </c>
      <c r="F78" s="122">
        <v>6576.088090107638</v>
      </c>
      <c r="G78" s="122">
        <v>8435.9702985115728</v>
      </c>
      <c r="H78" s="122">
        <v>10445.421171597973</v>
      </c>
      <c r="I78" s="122">
        <v>12119.518967082255</v>
      </c>
      <c r="J78" s="122">
        <v>16422.832428919999</v>
      </c>
      <c r="K78" s="122">
        <v>18003.438758046108</v>
      </c>
      <c r="L78" s="122">
        <v>24188.504534718013</v>
      </c>
    </row>
    <row r="79" spans="1:25">
      <c r="A79" s="124">
        <v>730.71938802742454</v>
      </c>
      <c r="B79" s="122">
        <v>4924.1123965174447</v>
      </c>
      <c r="C79" s="122">
        <v>13829.819757373349</v>
      </c>
      <c r="D79" s="122">
        <v>21125.867450384212</v>
      </c>
      <c r="E79" s="122">
        <v>23416.689519659605</v>
      </c>
      <c r="F79" s="122">
        <v>38560.342058750706</v>
      </c>
      <c r="G79" s="122">
        <v>45755.490571387716</v>
      </c>
      <c r="H79" s="122">
        <v>62473.197433347465</v>
      </c>
      <c r="I79" s="122">
        <v>84362.649835741104</v>
      </c>
      <c r="J79" s="122">
        <v>136132.29331191117</v>
      </c>
      <c r="K79" s="122">
        <v>182199.54949995814</v>
      </c>
      <c r="L79" s="122">
        <v>201040.00660043623</v>
      </c>
    </row>
    <row r="80" spans="1:25">
      <c r="A80" s="124">
        <v>6.1807367467523884</v>
      </c>
      <c r="B80" s="122">
        <v>4924.1123965174447</v>
      </c>
      <c r="C80" s="122">
        <v>6271.3114246882051</v>
      </c>
      <c r="D80" s="122">
        <v>2121.4028491765075</v>
      </c>
      <c r="E80" s="122">
        <v>1166.1690430984963</v>
      </c>
      <c r="F80" s="122">
        <v>1096.4894182799726</v>
      </c>
      <c r="G80" s="122">
        <v>2005.7657817719692</v>
      </c>
      <c r="H80" s="122">
        <v>-404.42859013401448</v>
      </c>
      <c r="I80" s="122">
        <v>881.99048050082911</v>
      </c>
      <c r="J80" s="122">
        <v>2477.7109791484572</v>
      </c>
      <c r="K80" s="122">
        <v>5236.4207873732739</v>
      </c>
      <c r="L80" s="122">
        <v>2387.8035509323263</v>
      </c>
    </row>
    <row r="81" spans="1:12">
      <c r="A81" s="124">
        <v>385.34645951778174</v>
      </c>
      <c r="B81" s="122">
        <v>4924.1123965174447</v>
      </c>
      <c r="C81" s="122">
        <v>8804.4720798890503</v>
      </c>
      <c r="D81" s="122">
        <v>8674.1615145543001</v>
      </c>
      <c r="E81" s="122">
        <v>15170.300640043926</v>
      </c>
      <c r="F81" s="122">
        <v>20055.882883940601</v>
      </c>
      <c r="G81" s="122">
        <v>29342.15131231791</v>
      </c>
      <c r="H81" s="122">
        <v>47464.29470425914</v>
      </c>
      <c r="I81" s="122">
        <v>50536.218284605682</v>
      </c>
      <c r="J81" s="122">
        <v>44705.858661157836</v>
      </c>
      <c r="K81" s="122">
        <v>73648.293806355112</v>
      </c>
      <c r="L81" s="122">
        <v>109103.0214829824</v>
      </c>
    </row>
    <row r="82" spans="1:12">
      <c r="A82" s="124">
        <v>279.26481564569281</v>
      </c>
      <c r="B82" s="122">
        <v>4924.1123965174447</v>
      </c>
      <c r="C82" s="122">
        <v>9399.9153370550885</v>
      </c>
      <c r="D82" s="122">
        <v>16903.258852866031</v>
      </c>
      <c r="E82" s="122">
        <v>17591.652415824374</v>
      </c>
      <c r="F82" s="122">
        <v>16222.82526276878</v>
      </c>
      <c r="G82" s="122">
        <v>20769.074581852325</v>
      </c>
      <c r="H82" s="122">
        <v>37409.480486727662</v>
      </c>
      <c r="I82" s="122">
        <v>30266.073207229172</v>
      </c>
      <c r="J82" s="122">
        <v>39521.416464108283</v>
      </c>
      <c r="K82" s="122">
        <v>54440.373554703758</v>
      </c>
      <c r="L82" s="122">
        <v>75386.571286559774</v>
      </c>
    </row>
    <row r="83" spans="1:12">
      <c r="A83" s="124">
        <v>67.803525223735079</v>
      </c>
      <c r="B83" s="122">
        <v>4924.1123965174447</v>
      </c>
      <c r="C83" s="122">
        <v>7699.5065423824763</v>
      </c>
      <c r="D83" s="122">
        <v>10594.188431798011</v>
      </c>
      <c r="E83" s="122">
        <v>6578.9990073956487</v>
      </c>
      <c r="F83" s="122">
        <v>6455.4285979243996</v>
      </c>
      <c r="G83" s="122">
        <v>9367.378904976953</v>
      </c>
      <c r="H83" s="122">
        <v>9605.7852851795124</v>
      </c>
      <c r="I83" s="122">
        <v>16703.249822462116</v>
      </c>
      <c r="J83" s="122">
        <v>16112.124532970975</v>
      </c>
      <c r="K83" s="122">
        <v>16892.87795738475</v>
      </c>
      <c r="L83" s="122">
        <v>14686.586359425291</v>
      </c>
    </row>
    <row r="84" spans="1:12">
      <c r="A84" s="124">
        <v>155.8723434233616</v>
      </c>
      <c r="B84" s="122">
        <v>4924.1123965174447</v>
      </c>
      <c r="C84" s="122">
        <v>5975.3784253268605</v>
      </c>
      <c r="D84" s="122">
        <v>3426.1132181570347</v>
      </c>
      <c r="E84" s="122">
        <v>2292.3416778770834</v>
      </c>
      <c r="F84" s="122">
        <v>8033.4260120429408</v>
      </c>
      <c r="G84" s="122">
        <v>10442.949280825715</v>
      </c>
      <c r="H84" s="122">
        <v>11760.739748696116</v>
      </c>
      <c r="I84" s="122">
        <v>18401.038174690482</v>
      </c>
      <c r="J84" s="122">
        <v>37576.435447829368</v>
      </c>
      <c r="K84" s="122">
        <v>38564.671935795719</v>
      </c>
      <c r="L84" s="122">
        <v>44748.155376674898</v>
      </c>
    </row>
    <row r="85" spans="1:12">
      <c r="A85" s="124">
        <v>73.059184359680174</v>
      </c>
      <c r="B85" s="122">
        <v>4924.1123965174447</v>
      </c>
      <c r="C85" s="122">
        <v>2745.661751432106</v>
      </c>
      <c r="D85" s="122">
        <v>5563.5049590308954</v>
      </c>
      <c r="E85" s="122">
        <v>1672.9684159161861</v>
      </c>
      <c r="F85" s="122">
        <v>4879.6155847951286</v>
      </c>
      <c r="G85" s="122">
        <v>6101.7458681225053</v>
      </c>
      <c r="H85" s="122">
        <v>4658.9675715789617</v>
      </c>
      <c r="I85" s="122">
        <v>3597.2002709217986</v>
      </c>
      <c r="J85" s="122">
        <v>7579.9203462888217</v>
      </c>
      <c r="K85" s="122">
        <v>23528.422136898567</v>
      </c>
      <c r="L85" s="122">
        <v>22816.520517338904</v>
      </c>
    </row>
    <row r="86" spans="1:12">
      <c r="A86" s="124">
        <v>123.34082088229572</v>
      </c>
      <c r="B86" s="122">
        <v>4924.1123965174447</v>
      </c>
      <c r="C86" s="122">
        <v>9348.897732876183</v>
      </c>
      <c r="D86" s="122">
        <v>12767.349430025457</v>
      </c>
      <c r="E86" s="122">
        <v>13095.012050236015</v>
      </c>
      <c r="F86" s="122">
        <v>13765.084205118816</v>
      </c>
      <c r="G86" s="122">
        <v>11826.649867389291</v>
      </c>
      <c r="H86" s="122">
        <v>12192.319342829913</v>
      </c>
      <c r="I86" s="122">
        <v>15006.919637726503</v>
      </c>
      <c r="J86" s="122">
        <v>19737.681108415327</v>
      </c>
      <c r="K86" s="122">
        <v>27784.658370813479</v>
      </c>
      <c r="L86" s="122">
        <v>30380.831146993463</v>
      </c>
    </row>
    <row r="87" spans="1:12">
      <c r="A87" s="124">
        <v>15.733018515373772</v>
      </c>
      <c r="B87" s="122">
        <v>4924.1123965174447</v>
      </c>
      <c r="C87" s="122">
        <v>3063.7289151493187</v>
      </c>
      <c r="D87" s="122">
        <v>2872.3634571117736</v>
      </c>
      <c r="E87" s="122">
        <v>1547.8559043558234</v>
      </c>
      <c r="F87" s="122">
        <v>916.6184262504421</v>
      </c>
      <c r="G87" s="122">
        <v>683.49465056293593</v>
      </c>
      <c r="H87" s="122">
        <v>782.04563507377952</v>
      </c>
      <c r="I87" s="122">
        <v>2412.4666155017048</v>
      </c>
      <c r="J87" s="122">
        <v>4217.615636989387</v>
      </c>
      <c r="K87" s="122">
        <v>5830.3641133472629</v>
      </c>
      <c r="L87" s="122">
        <v>6065.9082784539551</v>
      </c>
    </row>
    <row r="88" spans="1:12">
      <c r="A88" s="124">
        <v>55.280083017667792</v>
      </c>
      <c r="B88" s="122">
        <v>4924.1123965174447</v>
      </c>
      <c r="C88" s="122">
        <v>10105.984065803332</v>
      </c>
      <c r="D88" s="122">
        <v>4749.3033323697127</v>
      </c>
      <c r="E88" s="122">
        <v>4550.860315783797</v>
      </c>
      <c r="F88" s="122">
        <v>5382.0652915759601</v>
      </c>
      <c r="G88" s="122">
        <v>8148.8022560568861</v>
      </c>
      <c r="H88" s="122">
        <v>9390.5539551993825</v>
      </c>
      <c r="I88" s="122">
        <v>11422.708980966947</v>
      </c>
      <c r="J88" s="122">
        <v>11349.307039253976</v>
      </c>
      <c r="K88" s="122">
        <v>11380.499227107675</v>
      </c>
      <c r="L88" s="122">
        <v>13075.006089066548</v>
      </c>
    </row>
    <row r="89" spans="1:12">
      <c r="A89" s="124">
        <v>249.79465566056925</v>
      </c>
      <c r="B89" s="122">
        <v>4924.1123965174447</v>
      </c>
      <c r="C89" s="122">
        <v>3337.2351814505319</v>
      </c>
      <c r="D89" s="122">
        <v>4536.6461270551299</v>
      </c>
      <c r="E89" s="122">
        <v>9518.4949598060211</v>
      </c>
      <c r="F89" s="122">
        <v>14340.856924028449</v>
      </c>
      <c r="G89" s="122">
        <v>15192.995524961909</v>
      </c>
      <c r="H89" s="122">
        <v>30607.059824664284</v>
      </c>
      <c r="I89" s="122">
        <v>51632.035559237142</v>
      </c>
      <c r="J89" s="122">
        <v>82991.224065109011</v>
      </c>
      <c r="K89" s="122">
        <v>85879.722997561985</v>
      </c>
      <c r="L89" s="122">
        <v>61008.351152673873</v>
      </c>
    </row>
    <row r="90" spans="1:12">
      <c r="A90" s="124">
        <v>51.81407919490843</v>
      </c>
      <c r="B90" s="122">
        <v>4924.1123965174447</v>
      </c>
      <c r="C90" s="122">
        <v>5195.0111904289297</v>
      </c>
      <c r="D90" s="122">
        <v>5010.1263735844332</v>
      </c>
      <c r="E90" s="122">
        <v>2771.3801298447179</v>
      </c>
      <c r="F90" s="122">
        <v>2162.8123331069828</v>
      </c>
      <c r="G90" s="122">
        <v>-343.37986931045725</v>
      </c>
      <c r="H90" s="122">
        <v>2047.543601674297</v>
      </c>
      <c r="I90" s="122">
        <v>5348.0667799092917</v>
      </c>
      <c r="J90" s="122">
        <v>8632.8682148215248</v>
      </c>
      <c r="K90" s="122">
        <v>17132.509782332272</v>
      </c>
      <c r="L90" s="122">
        <v>16292.462980690325</v>
      </c>
    </row>
    <row r="91" spans="1:12">
      <c r="A91" s="124">
        <v>132.58244318974764</v>
      </c>
      <c r="B91" s="122">
        <v>4924.1123965174447</v>
      </c>
      <c r="C91" s="122">
        <v>6029.2719774107227</v>
      </c>
      <c r="D91" s="122">
        <v>5559.8577109472153</v>
      </c>
      <c r="E91" s="122">
        <v>5469.8496559561954</v>
      </c>
      <c r="F91" s="122">
        <v>7704.7196394894781</v>
      </c>
      <c r="G91" s="122">
        <v>9040.850669994732</v>
      </c>
      <c r="H91" s="122">
        <v>12889.650986543467</v>
      </c>
      <c r="I91" s="122">
        <v>16744.881724809977</v>
      </c>
      <c r="J91" s="122">
        <v>21957.136214500482</v>
      </c>
      <c r="K91" s="122">
        <v>20653.149727741675</v>
      </c>
      <c r="L91" s="122">
        <v>38857.128133431586</v>
      </c>
    </row>
    <row r="92" spans="1:12">
      <c r="A92" s="124">
        <v>173.96156866065033</v>
      </c>
      <c r="B92" s="122">
        <v>4924.1123965174447</v>
      </c>
      <c r="C92" s="122">
        <v>6953.159053279418</v>
      </c>
      <c r="D92" s="122">
        <v>7650.8593836455657</v>
      </c>
      <c r="E92" s="122">
        <v>12675.062702726995</v>
      </c>
      <c r="F92" s="122">
        <v>17750.585067642209</v>
      </c>
      <c r="G92" s="122">
        <v>18900.295005875985</v>
      </c>
      <c r="H92" s="122">
        <v>27636.656286690624</v>
      </c>
      <c r="I92" s="122">
        <v>21994.947976631403</v>
      </c>
      <c r="J92" s="122">
        <v>22429.454542454503</v>
      </c>
      <c r="K92" s="122">
        <v>27473.722434899362</v>
      </c>
      <c r="L92" s="122">
        <v>46071.585236529747</v>
      </c>
    </row>
    <row r="93" spans="1:12">
      <c r="A93" s="124">
        <v>18.798390220891228</v>
      </c>
      <c r="B93" s="122">
        <v>4924.1123965174447</v>
      </c>
      <c r="C93" s="122">
        <v>7903.2013668948512</v>
      </c>
      <c r="D93" s="122">
        <v>9152.7110882757024</v>
      </c>
      <c r="E93" s="122">
        <v>6520.0191916390359</v>
      </c>
      <c r="F93" s="122">
        <v>2946.6900097973339</v>
      </c>
      <c r="G93" s="122">
        <v>3234.4263594696222</v>
      </c>
      <c r="H93" s="122">
        <v>895.34532860507261</v>
      </c>
      <c r="I93" s="122">
        <v>401.36013875455228</v>
      </c>
      <c r="J93" s="122">
        <v>2640.7418148351671</v>
      </c>
      <c r="K93" s="122">
        <v>2862.2520101953041</v>
      </c>
      <c r="L93" s="122">
        <v>4069.414304216747</v>
      </c>
    </row>
    <row r="94" spans="1:12">
      <c r="A94" s="124">
        <v>103.41015689399089</v>
      </c>
      <c r="B94" s="122">
        <v>4924.1123965174447</v>
      </c>
      <c r="C94" s="122">
        <v>8277.0163203552911</v>
      </c>
      <c r="D94" s="122">
        <v>10386.532468404212</v>
      </c>
      <c r="E94" s="122">
        <v>16567.772590523742</v>
      </c>
      <c r="F94" s="122">
        <v>21248.4676366438</v>
      </c>
      <c r="G94" s="122">
        <v>20002.179335479777</v>
      </c>
      <c r="H94" s="122">
        <v>15107.693472432889</v>
      </c>
      <c r="I94" s="122">
        <v>14401.444854973561</v>
      </c>
      <c r="J94" s="122">
        <v>25457.596024710107</v>
      </c>
      <c r="K94" s="122">
        <v>23704.651961430103</v>
      </c>
      <c r="L94" s="122">
        <v>20060.299865787634</v>
      </c>
    </row>
    <row r="95" spans="1:12">
      <c r="A95" s="124">
        <v>7.0082919591225634</v>
      </c>
      <c r="B95" s="122">
        <v>4924.1123965174447</v>
      </c>
      <c r="C95" s="122">
        <v>4797.3368684071065</v>
      </c>
      <c r="D95" s="122">
        <v>3539.5497057326093</v>
      </c>
      <c r="E95" s="122">
        <v>951.95321860079639</v>
      </c>
      <c r="F95" s="122">
        <v>3444.0219277343085</v>
      </c>
      <c r="G95" s="122">
        <v>7743.3303065530654</v>
      </c>
      <c r="H95" s="122">
        <v>7319.3754999801313</v>
      </c>
      <c r="I95" s="122">
        <v>5808.8618117592869</v>
      </c>
      <c r="J95" s="122">
        <v>-353.14924874883764</v>
      </c>
      <c r="K95" s="122">
        <v>-434.00006778918396</v>
      </c>
      <c r="L95" s="122">
        <v>811.28227381330998</v>
      </c>
    </row>
    <row r="96" spans="1:12">
      <c r="A96" s="124">
        <v>29.016142751065143</v>
      </c>
      <c r="B96" s="122">
        <v>4924.1123965174447</v>
      </c>
      <c r="C96" s="122">
        <v>5472.6130536874243</v>
      </c>
      <c r="D96" s="122">
        <v>4989.8134084815356</v>
      </c>
      <c r="E96" s="122">
        <v>3953.2001939040165</v>
      </c>
      <c r="F96" s="122">
        <v>2400.7541227954434</v>
      </c>
      <c r="G96" s="122">
        <v>2620.7061685712897</v>
      </c>
      <c r="H96" s="122">
        <v>4042.9829781400022</v>
      </c>
      <c r="I96" s="122">
        <v>2240.8497458266629</v>
      </c>
      <c r="J96" s="122">
        <v>3181.6502477944759</v>
      </c>
      <c r="K96" s="122">
        <v>4359.4564371380293</v>
      </c>
      <c r="L96" s="122">
        <v>9008.3529346070918</v>
      </c>
    </row>
    <row r="97" spans="1:12">
      <c r="A97" s="124">
        <v>232.4277500807313</v>
      </c>
      <c r="B97" s="122">
        <v>4924.1123965174447</v>
      </c>
      <c r="C97" s="122">
        <v>7708.5078541018993</v>
      </c>
      <c r="D97" s="122">
        <v>13135.21530671803</v>
      </c>
      <c r="E97" s="122">
        <v>3363.9380386709709</v>
      </c>
      <c r="F97" s="122">
        <v>5175.8752120216959</v>
      </c>
      <c r="G97" s="122">
        <v>7495.0381980189031</v>
      </c>
      <c r="H97" s="122">
        <v>16715.751388805322</v>
      </c>
      <c r="I97" s="122">
        <v>29001.181584661885</v>
      </c>
      <c r="J97" s="122">
        <v>38634.974105733731</v>
      </c>
      <c r="K97" s="122">
        <v>46495.533917845351</v>
      </c>
      <c r="L97" s="122">
        <v>68992.829650818909</v>
      </c>
    </row>
    <row r="98" spans="1:12">
      <c r="A98" s="124">
        <v>61.514266332981308</v>
      </c>
      <c r="B98" s="122">
        <v>4924.1123965174447</v>
      </c>
      <c r="C98" s="122">
        <v>5594.5476899291971</v>
      </c>
      <c r="D98" s="122">
        <v>8769.5857174530993</v>
      </c>
      <c r="E98" s="122">
        <v>4296.0699620527848</v>
      </c>
      <c r="F98" s="122">
        <v>5301.0510118511756</v>
      </c>
      <c r="G98" s="122">
        <v>7651.419081926515</v>
      </c>
      <c r="H98" s="122">
        <v>8865.4924814788064</v>
      </c>
      <c r="I98" s="122">
        <v>5489.2727687985353</v>
      </c>
      <c r="J98" s="122">
        <v>8237.9856623591022</v>
      </c>
      <c r="K98" s="122">
        <v>13717.113308154032</v>
      </c>
      <c r="L98" s="122">
        <v>16619.771519061338</v>
      </c>
    </row>
    <row r="99" spans="1:12">
      <c r="A99" s="124">
        <v>255.98495678064819</v>
      </c>
      <c r="B99" s="122">
        <v>4924.1123965174447</v>
      </c>
      <c r="C99" s="122">
        <v>10611.089238340261</v>
      </c>
      <c r="D99" s="122">
        <v>11693.640909688344</v>
      </c>
      <c r="E99" s="122">
        <v>18771.973851584233</v>
      </c>
      <c r="F99" s="122">
        <v>25253.191921565307</v>
      </c>
      <c r="G99" s="122">
        <v>29772.348773337289</v>
      </c>
      <c r="H99" s="122">
        <v>32504.945168956736</v>
      </c>
      <c r="I99" s="122">
        <v>49182.935011867412</v>
      </c>
      <c r="J99" s="122">
        <v>37324.002351694951</v>
      </c>
      <c r="K99" s="122">
        <v>69891.132109138038</v>
      </c>
      <c r="L99" s="122">
        <v>61506.399386755991</v>
      </c>
    </row>
    <row r="100" spans="1:12">
      <c r="A100" s="124">
        <v>180.75918108889789</v>
      </c>
      <c r="B100" s="122">
        <v>4924.1123965174447</v>
      </c>
      <c r="C100" s="122">
        <v>5174.7432744076741</v>
      </c>
      <c r="D100" s="122">
        <v>5849.9922146681711</v>
      </c>
      <c r="E100" s="122">
        <v>9246.5946874941874</v>
      </c>
      <c r="F100" s="122">
        <v>17478.79403311438</v>
      </c>
      <c r="G100" s="122">
        <v>18693.190113718891</v>
      </c>
      <c r="H100" s="122">
        <v>27065.425065758605</v>
      </c>
      <c r="I100" s="122">
        <v>37172.443999022529</v>
      </c>
      <c r="J100" s="122">
        <v>32060.429917720139</v>
      </c>
      <c r="K100" s="122">
        <v>37257.383198644362</v>
      </c>
      <c r="L100" s="122">
        <v>46231.622494068761</v>
      </c>
    </row>
    <row r="101" spans="1:12">
      <c r="A101" s="124">
        <v>152.21169355364952</v>
      </c>
      <c r="B101" s="122">
        <v>4924.1123965174447</v>
      </c>
      <c r="C101" s="122">
        <v>3267.1768095641255</v>
      </c>
      <c r="D101" s="122">
        <v>4570.0095022408987</v>
      </c>
      <c r="E101" s="122">
        <v>7260.0877600954555</v>
      </c>
      <c r="F101" s="122">
        <v>9364.730716262924</v>
      </c>
      <c r="G101" s="122">
        <v>12458.71053691845</v>
      </c>
      <c r="H101" s="122">
        <v>12195.58095024907</v>
      </c>
      <c r="I101" s="122">
        <v>16086.984402232323</v>
      </c>
      <c r="J101" s="122">
        <v>16796.377408902299</v>
      </c>
      <c r="K101" s="122">
        <v>23405.595940481366</v>
      </c>
      <c r="L101" s="122">
        <v>46369.669908546792</v>
      </c>
    </row>
    <row r="102" spans="1:12">
      <c r="A102" s="124">
        <v>66.935291018505993</v>
      </c>
      <c r="B102" s="122">
        <v>4924.1123965174447</v>
      </c>
      <c r="C102" s="122">
        <v>2087.1516076906692</v>
      </c>
      <c r="D102" s="122">
        <v>2416.5443028015543</v>
      </c>
      <c r="E102" s="122">
        <v>2824.2049639162078</v>
      </c>
      <c r="F102" s="122">
        <v>3915.5882327643812</v>
      </c>
      <c r="G102" s="122">
        <v>10905.462739328017</v>
      </c>
      <c r="H102" s="122">
        <v>15099.987919653551</v>
      </c>
      <c r="I102" s="122">
        <v>20909.428294337355</v>
      </c>
      <c r="J102" s="122">
        <v>24950.547371908156</v>
      </c>
      <c r="K102" s="122">
        <v>23244.097148811776</v>
      </c>
      <c r="L102" s="122">
        <v>15159.682801379855</v>
      </c>
    </row>
    <row r="103" spans="1:12">
      <c r="A103" s="124">
        <v>11.679598588313683</v>
      </c>
      <c r="B103" s="122">
        <v>4924.1123965174447</v>
      </c>
      <c r="C103" s="122">
        <v>2729.4588327340234</v>
      </c>
      <c r="D103" s="122">
        <v>2511.7965606767511</v>
      </c>
      <c r="E103" s="122">
        <v>3479.770770500103</v>
      </c>
      <c r="F103" s="122">
        <v>2181.0524301159885</v>
      </c>
      <c r="G103" s="122">
        <v>2272.3051396167293</v>
      </c>
      <c r="H103" s="122">
        <v>1492.9715135966244</v>
      </c>
      <c r="I103" s="122">
        <v>2149.1886296071552</v>
      </c>
      <c r="J103" s="122">
        <v>1302.7663026545224</v>
      </c>
      <c r="K103" s="122">
        <v>4061.9435338588428</v>
      </c>
      <c r="L103" s="122">
        <v>4346.6627676899698</v>
      </c>
    </row>
    <row r="104" spans="1:12">
      <c r="A104" s="124">
        <v>18.26254921439973</v>
      </c>
      <c r="B104" s="122">
        <v>4924.1123965174447</v>
      </c>
      <c r="C104" s="122">
        <v>1815.5051748459</v>
      </c>
      <c r="D104" s="122">
        <v>1723.8707368423065</v>
      </c>
      <c r="E104" s="122">
        <v>3608.2920340111787</v>
      </c>
      <c r="F104" s="122">
        <v>3833.0269483250759</v>
      </c>
      <c r="G104" s="122">
        <v>3401.6278305984915</v>
      </c>
      <c r="H104" s="122">
        <v>8789.0894665817887</v>
      </c>
      <c r="I104" s="122">
        <v>6218.7272523191623</v>
      </c>
      <c r="J104" s="122">
        <v>7285.1922594929329</v>
      </c>
      <c r="K104" s="122">
        <v>3337.3539824016898</v>
      </c>
      <c r="L104" s="122">
        <v>4657.0954385608275</v>
      </c>
    </row>
    <row r="105" spans="1:12">
      <c r="A105" s="124">
        <v>99.798154554226841</v>
      </c>
      <c r="B105" s="122">
        <v>4924.1123965174447</v>
      </c>
      <c r="C105" s="122">
        <v>5045.4598022951031</v>
      </c>
      <c r="D105" s="122">
        <v>2820.9625357996019</v>
      </c>
      <c r="E105" s="122">
        <v>2821.62842830312</v>
      </c>
      <c r="F105" s="122">
        <v>9007.8967229417194</v>
      </c>
      <c r="G105" s="122">
        <v>16934.992253264667</v>
      </c>
      <c r="H105" s="122">
        <v>33429.742306132066</v>
      </c>
      <c r="I105" s="122">
        <v>21086.705525824214</v>
      </c>
      <c r="J105" s="122">
        <v>23025.00876686121</v>
      </c>
      <c r="K105" s="122">
        <v>17088.344108753128</v>
      </c>
      <c r="L105" s="122">
        <v>23412.474985785353</v>
      </c>
    </row>
    <row r="106" spans="1:12">
      <c r="A106" s="124">
        <v>257.32659628906237</v>
      </c>
      <c r="B106" s="122">
        <v>4924.1123965174447</v>
      </c>
      <c r="C106" s="122">
        <v>8488.6611541449529</v>
      </c>
      <c r="D106" s="122">
        <v>11268.273688826777</v>
      </c>
      <c r="E106" s="122">
        <v>11046.350154003463</v>
      </c>
      <c r="F106" s="122">
        <v>18346.357672221846</v>
      </c>
      <c r="G106" s="122">
        <v>21898.505710987847</v>
      </c>
      <c r="H106" s="122">
        <v>27986.132660308114</v>
      </c>
      <c r="I106" s="122">
        <v>42967.249861533543</v>
      </c>
      <c r="J106" s="122">
        <v>53832.002365444758</v>
      </c>
      <c r="K106" s="122">
        <v>73389.975045981773</v>
      </c>
      <c r="L106" s="122">
        <v>65368.075432874801</v>
      </c>
    </row>
    <row r="107" spans="1:12">
      <c r="A107" s="124">
        <v>208.99866114307815</v>
      </c>
      <c r="B107" s="122">
        <v>4924.1123965174447</v>
      </c>
      <c r="C107" s="122">
        <v>9699.1071614297707</v>
      </c>
      <c r="D107" s="122">
        <v>4256.445913670852</v>
      </c>
      <c r="E107" s="122">
        <v>5289.3079525618832</v>
      </c>
      <c r="F107" s="122">
        <v>10828.317338762155</v>
      </c>
      <c r="G107" s="122">
        <v>10864.487122639912</v>
      </c>
      <c r="H107" s="122">
        <v>14053.34754825108</v>
      </c>
      <c r="I107" s="122">
        <v>17196.728786790205</v>
      </c>
      <c r="J107" s="122">
        <v>19817.497762438936</v>
      </c>
      <c r="K107" s="122">
        <v>38151.546632596837</v>
      </c>
      <c r="L107" s="122">
        <v>64468.141139510903</v>
      </c>
    </row>
    <row r="108" spans="1:12">
      <c r="A108" s="124">
        <v>181.45146314175054</v>
      </c>
      <c r="B108" s="122">
        <v>4924.1123965174447</v>
      </c>
      <c r="C108" s="122">
        <v>7510.8358830308025</v>
      </c>
      <c r="D108" s="122">
        <v>9361.8142675429062</v>
      </c>
      <c r="E108" s="122">
        <v>15633.772931099593</v>
      </c>
      <c r="F108" s="122">
        <v>22838.802819340559</v>
      </c>
      <c r="G108" s="122">
        <v>13710.420549099563</v>
      </c>
      <c r="H108" s="122">
        <v>13302.907648116747</v>
      </c>
      <c r="I108" s="122">
        <v>24656.089447168346</v>
      </c>
      <c r="J108" s="122">
        <v>31572.446960022578</v>
      </c>
      <c r="K108" s="122">
        <v>52648.509451495323</v>
      </c>
      <c r="L108" s="122">
        <v>45901.256091858661</v>
      </c>
    </row>
    <row r="109" spans="1:12">
      <c r="A109" s="124">
        <v>79.981788426979335</v>
      </c>
      <c r="B109" s="122">
        <v>4924.1123965174447</v>
      </c>
      <c r="C109" s="122">
        <v>3143.6257231829604</v>
      </c>
      <c r="D109" s="122">
        <v>5329.1250779242164</v>
      </c>
      <c r="E109" s="122">
        <v>10108.997926567507</v>
      </c>
      <c r="F109" s="122">
        <v>18679.779612570885</v>
      </c>
      <c r="G109" s="122">
        <v>17015.891421984452</v>
      </c>
      <c r="H109" s="122">
        <v>11590.305047858206</v>
      </c>
      <c r="I109" s="122">
        <v>16131.467809490954</v>
      </c>
      <c r="J109" s="122">
        <v>13322.742570604463</v>
      </c>
      <c r="K109" s="122">
        <v>15805.761854531574</v>
      </c>
      <c r="L109" s="122">
        <v>17754.691877112211</v>
      </c>
    </row>
    <row r="110" spans="1:12">
      <c r="A110" s="124">
        <v>54.469833927210779</v>
      </c>
      <c r="B110" s="122">
        <v>4924.1123965174447</v>
      </c>
      <c r="C110" s="122">
        <v>4697.492901057587</v>
      </c>
      <c r="D110" s="122">
        <v>8720.2838775434866</v>
      </c>
      <c r="E110" s="122">
        <v>8580.9404478911474</v>
      </c>
      <c r="F110" s="122">
        <v>9245.3933716756892</v>
      </c>
      <c r="G110" s="122">
        <v>11047.445844269872</v>
      </c>
      <c r="H110" s="122">
        <v>14859.734945461849</v>
      </c>
      <c r="I110" s="122">
        <v>11991.694234119659</v>
      </c>
      <c r="J110" s="122">
        <v>9482.0666954550379</v>
      </c>
      <c r="K110" s="122">
        <v>7683.7076383692638</v>
      </c>
      <c r="L110" s="122">
        <v>11174.966119572578</v>
      </c>
    </row>
    <row r="111" spans="1:12">
      <c r="A111" s="124">
        <v>-26.119046833740754</v>
      </c>
      <c r="B111" s="122">
        <v>4924.1123965174447</v>
      </c>
      <c r="C111" s="122">
        <v>-996.74502782823038</v>
      </c>
      <c r="D111" s="122">
        <v>-1543.3419728512558</v>
      </c>
      <c r="E111" s="122">
        <v>-2796.7867977061978</v>
      </c>
      <c r="F111" s="122">
        <v>-2475.0157042064184</v>
      </c>
      <c r="G111" s="122">
        <v>-2986.1374038016211</v>
      </c>
      <c r="H111" s="122">
        <v>-2283.3271658028175</v>
      </c>
      <c r="I111" s="122">
        <v>-3615.0199559593379</v>
      </c>
      <c r="J111" s="122">
        <v>-3982.9273341202211</v>
      </c>
      <c r="K111" s="122">
        <v>-3830.0841691186024</v>
      </c>
      <c r="L111" s="122">
        <v>-3011.5694462335596</v>
      </c>
    </row>
    <row r="112" spans="1:12">
      <c r="A112" s="124">
        <v>490.35875051493406</v>
      </c>
      <c r="B112" s="122">
        <v>4924.1123965174447</v>
      </c>
      <c r="C112" s="122">
        <v>13683.240327657859</v>
      </c>
      <c r="D112" s="122">
        <v>26717.041283413742</v>
      </c>
      <c r="E112" s="122">
        <v>24770.971162527418</v>
      </c>
      <c r="F112" s="122">
        <v>32534.523365419256</v>
      </c>
      <c r="G112" s="122">
        <v>37914.379391208757</v>
      </c>
      <c r="H112" s="122">
        <v>42104.695473157401</v>
      </c>
      <c r="I112" s="122">
        <v>44853.744445479642</v>
      </c>
      <c r="J112" s="122">
        <v>66923.419388381415</v>
      </c>
      <c r="K112" s="122">
        <v>95234.256597048399</v>
      </c>
      <c r="L112" s="122">
        <v>135684.50508476992</v>
      </c>
    </row>
    <row r="113" spans="1:12">
      <c r="A113" s="124">
        <v>156.47843825324807</v>
      </c>
      <c r="B113" s="122">
        <v>4924.1123965174447</v>
      </c>
      <c r="C113" s="122">
        <v>7787.5296241256365</v>
      </c>
      <c r="D113" s="122">
        <v>11214.825504496765</v>
      </c>
      <c r="E113" s="122">
        <v>6915.1517363756047</v>
      </c>
      <c r="F113" s="122">
        <v>9939.497364105051</v>
      </c>
      <c r="G113" s="122">
        <v>20908.348328681121</v>
      </c>
      <c r="H113" s="122">
        <v>20084.543581485104</v>
      </c>
      <c r="I113" s="122">
        <v>31715.125508609271</v>
      </c>
      <c r="J113" s="122">
        <v>38068.925756482342</v>
      </c>
      <c r="K113" s="122">
        <v>51948.911012486802</v>
      </c>
      <c r="L113" s="122">
        <v>36299.118197883123</v>
      </c>
    </row>
    <row r="114" spans="1:12">
      <c r="A114" s="124">
        <v>77.467912945305898</v>
      </c>
      <c r="B114" s="122">
        <v>4924.1123965174447</v>
      </c>
      <c r="C114" s="122">
        <v>5251.9545367701539</v>
      </c>
      <c r="D114" s="122">
        <v>3515.9627906187798</v>
      </c>
      <c r="E114" s="122">
        <v>5572.5214852472491</v>
      </c>
      <c r="F114" s="122">
        <v>9831.0803838978245</v>
      </c>
      <c r="G114" s="122">
        <v>15070.144021166954</v>
      </c>
      <c r="H114" s="122">
        <v>10024.138584835677</v>
      </c>
      <c r="I114" s="122">
        <v>11724.347986275798</v>
      </c>
      <c r="J114" s="122">
        <v>13990.631907945626</v>
      </c>
      <c r="K114" s="122">
        <v>9206.5789974124018</v>
      </c>
      <c r="L114" s="122">
        <v>20556.839955956875</v>
      </c>
    </row>
    <row r="115" spans="1:12">
      <c r="A115" s="124">
        <v>13.34323628464581</v>
      </c>
      <c r="B115" s="122">
        <v>4924.1123965174447</v>
      </c>
      <c r="C115" s="122">
        <v>5730.1743140692615</v>
      </c>
      <c r="D115" s="122">
        <v>4315.3590329252384</v>
      </c>
      <c r="E115" s="122">
        <v>1108.6203441669068</v>
      </c>
      <c r="F115" s="122">
        <v>3321.2250939997339</v>
      </c>
      <c r="G115" s="122">
        <v>3817.1422911793434</v>
      </c>
      <c r="H115" s="122">
        <v>5093.0416975157859</v>
      </c>
      <c r="I115" s="122">
        <v>4266.9920018435823</v>
      </c>
      <c r="J115" s="122">
        <v>2207.5188079671243</v>
      </c>
      <c r="K115" s="122">
        <v>868.59189975051959</v>
      </c>
      <c r="L115" s="122">
        <v>3469.3857609553625</v>
      </c>
    </row>
    <row r="116" spans="1:12">
      <c r="A116" s="124">
        <v>74.98968171711978</v>
      </c>
      <c r="B116" s="122">
        <v>4924.1123965174447</v>
      </c>
      <c r="C116" s="122">
        <v>4414.13959523415</v>
      </c>
      <c r="D116" s="122">
        <v>5593.5406408067101</v>
      </c>
      <c r="E116" s="122">
        <v>3581.1659771348322</v>
      </c>
      <c r="F116" s="122">
        <v>9250.8989390223942</v>
      </c>
      <c r="G116" s="122">
        <v>11972.473065270497</v>
      </c>
      <c r="H116" s="122">
        <v>13013.107119388955</v>
      </c>
      <c r="I116" s="122">
        <v>12940.667615102873</v>
      </c>
      <c r="J116" s="122">
        <v>17939.535558365089</v>
      </c>
      <c r="K116" s="122">
        <v>28380.046109706287</v>
      </c>
      <c r="L116" s="122">
        <v>17406.883224828194</v>
      </c>
    </row>
    <row r="117" spans="1:12">
      <c r="A117" s="124">
        <v>109.7867791187027</v>
      </c>
      <c r="B117" s="122">
        <v>4924.1123965174447</v>
      </c>
      <c r="C117" s="122">
        <v>6469.3192704675639</v>
      </c>
      <c r="D117" s="122">
        <v>10749.425505891542</v>
      </c>
      <c r="E117" s="122">
        <v>11500.251109883719</v>
      </c>
      <c r="F117" s="122">
        <v>17177.406819829444</v>
      </c>
      <c r="G117" s="122">
        <v>12736.794743606246</v>
      </c>
      <c r="H117" s="122">
        <v>10880.974217729698</v>
      </c>
      <c r="I117" s="122">
        <v>13801.219338490555</v>
      </c>
      <c r="J117" s="122">
        <v>14758.03423089713</v>
      </c>
      <c r="K117" s="122">
        <v>22024.97081433711</v>
      </c>
      <c r="L117" s="122">
        <v>27361.354199212499</v>
      </c>
    </row>
    <row r="118" spans="1:12">
      <c r="A118" s="124">
        <v>19.108561672167561</v>
      </c>
      <c r="B118" s="122">
        <v>4924.1123965174447</v>
      </c>
      <c r="C118" s="122">
        <v>7016.9527878865592</v>
      </c>
      <c r="D118" s="122">
        <v>8770.3929299875854</v>
      </c>
      <c r="E118" s="122">
        <v>2812.1146191719126</v>
      </c>
      <c r="F118" s="122">
        <v>6314.5722694443102</v>
      </c>
      <c r="G118" s="122">
        <v>4271.3255365805344</v>
      </c>
      <c r="H118" s="122">
        <v>4311.3992188376451</v>
      </c>
      <c r="I118" s="122">
        <v>3472.7790184874611</v>
      </c>
      <c r="J118" s="122">
        <v>6195.8205928685311</v>
      </c>
      <c r="K118" s="122">
        <v>4900.3731965267471</v>
      </c>
      <c r="L118" s="122">
        <v>2991.4781729921642</v>
      </c>
    </row>
    <row r="119" spans="1:12">
      <c r="A119" s="124">
        <v>4.8773746697252456</v>
      </c>
      <c r="B119" s="122">
        <v>4924.1123965174447</v>
      </c>
      <c r="C119" s="122">
        <v>1526.1377279885146</v>
      </c>
      <c r="D119" s="122">
        <v>527.31978342850562</v>
      </c>
      <c r="E119" s="122">
        <v>-2384.1952837761214</v>
      </c>
      <c r="F119" s="122">
        <v>-393.95141742329997</v>
      </c>
      <c r="G119" s="122">
        <v>608.94832424825654</v>
      </c>
      <c r="H119" s="122">
        <v>2108.098401200763</v>
      </c>
      <c r="I119" s="122">
        <v>-141.1917094541368</v>
      </c>
      <c r="J119" s="122">
        <v>-637.18870439592229</v>
      </c>
      <c r="K119" s="122">
        <v>3223.5794574174733</v>
      </c>
      <c r="L119" s="122">
        <v>4634.5368859933224</v>
      </c>
    </row>
    <row r="120" spans="1:12">
      <c r="A120" s="124">
        <v>161.76850830981797</v>
      </c>
      <c r="B120" s="122">
        <v>4924.1123965174447</v>
      </c>
      <c r="C120" s="122">
        <v>4557.1142225026233</v>
      </c>
      <c r="D120" s="122">
        <v>5993.5785584391288</v>
      </c>
      <c r="E120" s="122">
        <v>5108.22304389684</v>
      </c>
      <c r="F120" s="122">
        <v>9628.1959970359367</v>
      </c>
      <c r="G120" s="122">
        <v>10256.45804717264</v>
      </c>
      <c r="H120" s="122">
        <v>13844.281319621976</v>
      </c>
      <c r="I120" s="122">
        <v>19724.396207523121</v>
      </c>
      <c r="J120" s="122">
        <v>23825.975300808044</v>
      </c>
      <c r="K120" s="122">
        <v>35522.999439766827</v>
      </c>
      <c r="L120" s="122">
        <v>47409.914475091857</v>
      </c>
    </row>
    <row r="121" spans="1:12">
      <c r="A121" s="124">
        <v>63.361121240487925</v>
      </c>
      <c r="B121" s="122">
        <v>4924.1123965174447</v>
      </c>
      <c r="C121" s="122">
        <v>7669.3074655910896</v>
      </c>
      <c r="D121" s="122">
        <v>5744.6435860955662</v>
      </c>
      <c r="E121" s="122">
        <v>8198.4078195956954</v>
      </c>
      <c r="F121" s="122">
        <v>6086.1920673961631</v>
      </c>
      <c r="G121" s="122">
        <v>6939.2001041558015</v>
      </c>
      <c r="H121" s="122">
        <v>6488.6285922340667</v>
      </c>
      <c r="I121" s="122">
        <v>5562.277206088791</v>
      </c>
      <c r="J121" s="122">
        <v>8387.6097192586294</v>
      </c>
      <c r="K121" s="122">
        <v>10978.84401481796</v>
      </c>
      <c r="L121" s="122">
        <v>17307.259722676805</v>
      </c>
    </row>
    <row r="122" spans="1:12">
      <c r="A122" s="124">
        <v>8.6672471862660991</v>
      </c>
      <c r="B122" s="122">
        <v>4924.1123965174447</v>
      </c>
      <c r="C122" s="122">
        <v>3981.3009313647253</v>
      </c>
      <c r="D122" s="122">
        <v>7369.6686377059123</v>
      </c>
      <c r="E122" s="122">
        <v>9080.0448053179443</v>
      </c>
      <c r="F122" s="122">
        <v>6213.9091710647699</v>
      </c>
      <c r="G122" s="122">
        <v>3450.3956450681535</v>
      </c>
      <c r="H122" s="122">
        <v>1495.7265138441098</v>
      </c>
      <c r="I122" s="122">
        <v>-641.90917571218279</v>
      </c>
      <c r="J122" s="122">
        <v>1132.8529434118509</v>
      </c>
      <c r="K122" s="122">
        <v>1087.7975668016943</v>
      </c>
      <c r="L122" s="122">
        <v>843.36683019893644</v>
      </c>
    </row>
    <row r="123" spans="1:12">
      <c r="A123" s="124">
        <v>125.63005972399966</v>
      </c>
      <c r="B123" s="122">
        <v>4924.1123965174447</v>
      </c>
      <c r="C123" s="122">
        <v>7765.9573495315526</v>
      </c>
      <c r="D123" s="122">
        <v>8886.5557225952725</v>
      </c>
      <c r="E123" s="122">
        <v>10514.420248932925</v>
      </c>
      <c r="F123" s="122">
        <v>15179.203949736035</v>
      </c>
      <c r="G123" s="122">
        <v>16422.024723134487</v>
      </c>
      <c r="H123" s="122">
        <v>17005.921746747863</v>
      </c>
      <c r="I123" s="122">
        <v>14767.770890827167</v>
      </c>
      <c r="J123" s="122">
        <v>19779.880477746145</v>
      </c>
      <c r="K123" s="122">
        <v>21284.006196019593</v>
      </c>
      <c r="L123" s="122">
        <v>31923.646508078818</v>
      </c>
    </row>
    <row r="124" spans="1:12">
      <c r="A124" s="124">
        <v>31.832179484803529</v>
      </c>
      <c r="B124" s="122">
        <v>4924.1123965174447</v>
      </c>
      <c r="C124" s="122">
        <v>3277.1290874421911</v>
      </c>
      <c r="D124" s="122">
        <v>2014.4696478920096</v>
      </c>
      <c r="E124" s="122">
        <v>2519.5006342279476</v>
      </c>
      <c r="F124" s="122">
        <v>3163.7757841929933</v>
      </c>
      <c r="G124" s="122">
        <v>2357.5625249219447</v>
      </c>
      <c r="H124" s="122">
        <v>7901.6191490710262</v>
      </c>
      <c r="I124" s="122">
        <v>2967.8217904932371</v>
      </c>
      <c r="J124" s="122">
        <v>7158.6586144051107</v>
      </c>
      <c r="K124" s="122">
        <v>9608.7258479919692</v>
      </c>
      <c r="L124" s="122">
        <v>9718.6293626181123</v>
      </c>
    </row>
    <row r="125" spans="1:12">
      <c r="A125" s="124">
        <v>89.018678309899926</v>
      </c>
      <c r="B125" s="122">
        <v>4924.1123965174447</v>
      </c>
      <c r="C125" s="122">
        <v>2583.0600482305836</v>
      </c>
      <c r="D125" s="122">
        <v>6350.3790054929377</v>
      </c>
      <c r="E125" s="122">
        <v>10948.668365956903</v>
      </c>
      <c r="F125" s="122">
        <v>10835.262427699876</v>
      </c>
      <c r="G125" s="122">
        <v>12353.200494699449</v>
      </c>
      <c r="H125" s="122">
        <v>10155.11954680668</v>
      </c>
      <c r="I125" s="122">
        <v>15005.816757907211</v>
      </c>
      <c r="J125" s="122">
        <v>18752.087334205989</v>
      </c>
      <c r="K125" s="122">
        <v>11636.629115232572</v>
      </c>
      <c r="L125" s="122">
        <v>23002.918454686045</v>
      </c>
    </row>
    <row r="126" spans="1:12">
      <c r="A126" s="124">
        <v>-21.822418697434223</v>
      </c>
      <c r="B126" s="122">
        <v>4924.1123965174447</v>
      </c>
      <c r="C126" s="122">
        <v>2360.3899235204935</v>
      </c>
      <c r="D126" s="122">
        <v>1712.1854135538424</v>
      </c>
      <c r="E126" s="122">
        <v>-772.42930852512382</v>
      </c>
      <c r="F126" s="122">
        <v>-2057.5746132003951</v>
      </c>
      <c r="G126" s="122">
        <v>-2794.2854927305293</v>
      </c>
      <c r="H126" s="122">
        <v>-2578.9701517240969</v>
      </c>
      <c r="I126" s="122">
        <v>-2698.574299563049</v>
      </c>
      <c r="J126" s="122">
        <v>-3214.4797124821571</v>
      </c>
      <c r="K126" s="122">
        <v>-2775.9000038757858</v>
      </c>
      <c r="L126" s="122">
        <v>-3472.6365890642683</v>
      </c>
    </row>
    <row r="127" spans="1:12">
      <c r="A127" s="124">
        <v>149.46953712397226</v>
      </c>
      <c r="B127" s="122">
        <v>4924.1123965174447</v>
      </c>
      <c r="C127" s="122">
        <v>10513.327979640759</v>
      </c>
      <c r="D127" s="122">
        <v>12968.431859358818</v>
      </c>
      <c r="E127" s="122">
        <v>15643.622281707732</v>
      </c>
      <c r="F127" s="122">
        <v>14711.542024782659</v>
      </c>
      <c r="G127" s="122">
        <v>8387.6789929303086</v>
      </c>
      <c r="H127" s="122">
        <v>17325.466936308854</v>
      </c>
      <c r="I127" s="122">
        <v>19778.548320698217</v>
      </c>
      <c r="J127" s="122">
        <v>22377.494909817531</v>
      </c>
      <c r="K127" s="122">
        <v>26956.161756324567</v>
      </c>
      <c r="L127" s="122">
        <v>38304.563706158842</v>
      </c>
    </row>
    <row r="128" spans="1:12">
      <c r="A128" s="124">
        <v>86.360320865064139</v>
      </c>
      <c r="B128" s="122">
        <v>4924.1123965174447</v>
      </c>
      <c r="C128" s="122">
        <v>5708.9425774149713</v>
      </c>
      <c r="D128" s="122">
        <v>7159.6349708795769</v>
      </c>
      <c r="E128" s="122">
        <v>6677.2309896883289</v>
      </c>
      <c r="F128" s="122">
        <v>8328.2987777382477</v>
      </c>
      <c r="G128" s="122">
        <v>6882.9450143446429</v>
      </c>
      <c r="H128" s="122">
        <v>6167.4134404832366</v>
      </c>
      <c r="I128" s="122">
        <v>15561.138855190642</v>
      </c>
      <c r="J128" s="122">
        <v>24638.343825341475</v>
      </c>
      <c r="K128" s="122">
        <v>26627.879575001203</v>
      </c>
      <c r="L128" s="122">
        <v>21458.33889832694</v>
      </c>
    </row>
    <row r="129" spans="1:12">
      <c r="A129" s="124">
        <v>146.55831918195463</v>
      </c>
      <c r="B129" s="122">
        <v>4924.1123965174447</v>
      </c>
      <c r="C129" s="122">
        <v>6000.8511006906811</v>
      </c>
      <c r="D129" s="122">
        <v>10794.167258952328</v>
      </c>
      <c r="E129" s="122">
        <v>12694.434138696615</v>
      </c>
      <c r="F129" s="122">
        <v>6188.5062099921106</v>
      </c>
      <c r="G129" s="122">
        <v>17180.088291652082</v>
      </c>
      <c r="H129" s="122">
        <v>23000.131494725054</v>
      </c>
      <c r="I129" s="122">
        <v>23066.150217563951</v>
      </c>
      <c r="J129" s="122">
        <v>21393.161657123921</v>
      </c>
      <c r="K129" s="122">
        <v>26333.634757259239</v>
      </c>
      <c r="L129" s="122">
        <v>38231.010202646365</v>
      </c>
    </row>
    <row r="130" spans="1:12">
      <c r="A130" s="124">
        <v>82.06056753968592</v>
      </c>
      <c r="B130" s="122">
        <v>4924.1123965174447</v>
      </c>
      <c r="C130" s="122">
        <v>5563.0911944957443</v>
      </c>
      <c r="D130" s="122">
        <v>6971.7569942582813</v>
      </c>
      <c r="E130" s="122">
        <v>9678.8496285117417</v>
      </c>
      <c r="F130" s="122">
        <v>11866.034383040545</v>
      </c>
      <c r="G130" s="122">
        <v>19012.737492701428</v>
      </c>
      <c r="H130" s="122">
        <v>12601.327672556592</v>
      </c>
      <c r="I130" s="122">
        <v>14179.884788470594</v>
      </c>
      <c r="J130" s="122">
        <v>17408.860076005989</v>
      </c>
      <c r="K130" s="122">
        <v>21664.712924500775</v>
      </c>
      <c r="L130" s="122">
        <v>17641.541604191316</v>
      </c>
    </row>
    <row r="131" spans="1:12">
      <c r="A131" s="124">
        <v>10.866569042599638</v>
      </c>
      <c r="B131" s="122">
        <v>4924.1123965174447</v>
      </c>
      <c r="C131" s="122">
        <v>2283.2385253860093</v>
      </c>
      <c r="D131" s="122">
        <v>5890.677324368582</v>
      </c>
      <c r="E131" s="122">
        <v>5364.9671119913201</v>
      </c>
      <c r="F131" s="122">
        <v>5587.5657240065957</v>
      </c>
      <c r="G131" s="122">
        <v>7042.0729534026486</v>
      </c>
      <c r="H131" s="122">
        <v>2261.6660425434402</v>
      </c>
      <c r="I131" s="122">
        <v>1198.1004604219324</v>
      </c>
      <c r="J131" s="122">
        <v>4515.0826509138369</v>
      </c>
      <c r="K131" s="122">
        <v>3999.8019723131529</v>
      </c>
      <c r="L131" s="122">
        <v>1564.2044468683362</v>
      </c>
    </row>
    <row r="132" spans="1:12">
      <c r="A132" s="124">
        <v>88.485632596495762</v>
      </c>
      <c r="B132" s="122">
        <v>4924.1123965174447</v>
      </c>
      <c r="C132" s="122">
        <v>3761.7302999012754</v>
      </c>
      <c r="D132" s="122">
        <v>6107.2326615375532</v>
      </c>
      <c r="E132" s="122">
        <v>3423.7765239790579</v>
      </c>
      <c r="F132" s="122">
        <v>1849.0060477966808</v>
      </c>
      <c r="G132" s="122">
        <v>3423.0251727309133</v>
      </c>
      <c r="H132" s="122">
        <v>5921.8753500149251</v>
      </c>
      <c r="I132" s="122">
        <v>16374.228487005927</v>
      </c>
      <c r="J132" s="122">
        <v>35067.702830088696</v>
      </c>
      <c r="K132" s="122">
        <v>26151.539442581408</v>
      </c>
      <c r="L132" s="122">
        <v>23837.552310385716</v>
      </c>
    </row>
    <row r="133" spans="1:12">
      <c r="A133" s="124">
        <v>126.02864012925123</v>
      </c>
      <c r="B133" s="122">
        <v>4924.1123965174447</v>
      </c>
      <c r="C133" s="122">
        <v>8822.7919998458674</v>
      </c>
      <c r="D133" s="122">
        <v>17664.812438550343</v>
      </c>
      <c r="E133" s="122">
        <v>16737.854159418504</v>
      </c>
      <c r="F133" s="122">
        <v>15515.372095097788</v>
      </c>
      <c r="G133" s="122">
        <v>17214.157468637077</v>
      </c>
      <c r="H133" s="122">
        <v>10931.353465132141</v>
      </c>
      <c r="I133" s="122">
        <v>17774.481556285311</v>
      </c>
      <c r="J133" s="122">
        <v>24775.459863414155</v>
      </c>
      <c r="K133" s="122">
        <v>29717.730430726508</v>
      </c>
      <c r="L133" s="122">
        <v>27914.867296863467</v>
      </c>
    </row>
    <row r="134" spans="1:12">
      <c r="A134" s="124">
        <v>364.04147372948438</v>
      </c>
      <c r="B134" s="122">
        <v>4924.1123965174447</v>
      </c>
      <c r="C134" s="122">
        <v>9798.7815901681915</v>
      </c>
      <c r="D134" s="122">
        <v>8957.2219875638093</v>
      </c>
      <c r="E134" s="122">
        <v>12181.367925679773</v>
      </c>
      <c r="F134" s="122">
        <v>24027.363583682396</v>
      </c>
      <c r="G134" s="122">
        <v>22499.341270729179</v>
      </c>
      <c r="H134" s="122">
        <v>26777.725041149613</v>
      </c>
      <c r="I134" s="122">
        <v>39631.406018379748</v>
      </c>
      <c r="J134" s="122">
        <v>68240.388483954623</v>
      </c>
      <c r="K134" s="122">
        <v>78148.958490515637</v>
      </c>
      <c r="L134" s="122">
        <v>102785.12598572008</v>
      </c>
    </row>
    <row r="135" spans="1:12">
      <c r="A135" s="124">
        <v>16.667591972799979</v>
      </c>
      <c r="B135" s="122">
        <v>4924.1123965174447</v>
      </c>
      <c r="C135" s="122">
        <v>5184.3389183841355</v>
      </c>
      <c r="D135" s="122">
        <v>5075.5449535483585</v>
      </c>
      <c r="E135" s="122">
        <v>8180.8217536070915</v>
      </c>
      <c r="F135" s="122">
        <v>6139.4016325462053</v>
      </c>
      <c r="G135" s="122">
        <v>6391.7568107591705</v>
      </c>
      <c r="H135" s="122">
        <v>2413.8704857219236</v>
      </c>
      <c r="I135" s="122">
        <v>2576.6837697970059</v>
      </c>
      <c r="J135" s="122">
        <v>3757.5857355261596</v>
      </c>
      <c r="K135" s="122">
        <v>4293.7081069559608</v>
      </c>
      <c r="L135" s="122">
        <v>2647.1001752319662</v>
      </c>
    </row>
    <row r="136" spans="1:12">
      <c r="A136" s="124">
        <v>118.93562984776904</v>
      </c>
      <c r="B136" s="122">
        <v>4924.1123965174447</v>
      </c>
      <c r="C136" s="122">
        <v>2541.8841513107609</v>
      </c>
      <c r="D136" s="122">
        <v>8353.5862565330281</v>
      </c>
      <c r="E136" s="122">
        <v>9138.2159087486161</v>
      </c>
      <c r="F136" s="122">
        <v>7480.1489330558543</v>
      </c>
      <c r="G136" s="122">
        <v>14604.154606777389</v>
      </c>
      <c r="H136" s="122">
        <v>14215.740848519843</v>
      </c>
      <c r="I136" s="122">
        <v>20208.524343315767</v>
      </c>
      <c r="J136" s="122">
        <v>19070.152497362593</v>
      </c>
      <c r="K136" s="122">
        <v>21428.009046923024</v>
      </c>
      <c r="L136" s="122">
        <v>32167.937764728456</v>
      </c>
    </row>
    <row r="137" spans="1:12">
      <c r="A137" s="124">
        <v>289.67815472043435</v>
      </c>
      <c r="B137" s="122">
        <v>4924.1123965174447</v>
      </c>
      <c r="C137" s="122">
        <v>9380.8252134602371</v>
      </c>
      <c r="D137" s="122">
        <v>14091.500626059336</v>
      </c>
      <c r="E137" s="122">
        <v>17317.526716410117</v>
      </c>
      <c r="F137" s="122">
        <v>24573.031976721875</v>
      </c>
      <c r="G137" s="122">
        <v>32985.706200092427</v>
      </c>
      <c r="H137" s="122">
        <v>31826.01434237379</v>
      </c>
      <c r="I137" s="122">
        <v>28536.874214852673</v>
      </c>
      <c r="J137" s="122">
        <v>37141.543128558755</v>
      </c>
      <c r="K137" s="122">
        <v>62484.893043719945</v>
      </c>
      <c r="L137" s="122">
        <v>77161.587892943091</v>
      </c>
    </row>
    <row r="138" spans="1:12">
      <c r="A138" s="124">
        <v>146.1238930849596</v>
      </c>
      <c r="B138" s="122">
        <v>4924.1123965174447</v>
      </c>
      <c r="C138" s="122">
        <v>9295.2468783860149</v>
      </c>
      <c r="D138" s="122">
        <v>10769.82980260924</v>
      </c>
      <c r="E138" s="122">
        <v>6434.5358907944446</v>
      </c>
      <c r="F138" s="122">
        <v>11478.455023024986</v>
      </c>
      <c r="G138" s="122">
        <v>4904.5289679886137</v>
      </c>
      <c r="H138" s="122">
        <v>12244.942662860518</v>
      </c>
      <c r="I138" s="122">
        <v>17498.669896782798</v>
      </c>
      <c r="J138" s="122">
        <v>22119.047610557081</v>
      </c>
      <c r="K138" s="122">
        <v>26720.066844269852</v>
      </c>
      <c r="L138" s="122">
        <v>41407.928352834235</v>
      </c>
    </row>
    <row r="139" spans="1:12">
      <c r="A139" s="124">
        <v>140.4828378486279</v>
      </c>
      <c r="B139" s="122">
        <v>4924.1123965174447</v>
      </c>
      <c r="C139" s="122">
        <v>4115.8844155518818</v>
      </c>
      <c r="D139" s="122">
        <v>5321.2042477859432</v>
      </c>
      <c r="E139" s="122">
        <v>12071.688554246473</v>
      </c>
      <c r="F139" s="122">
        <v>21659.436879079309</v>
      </c>
      <c r="G139" s="122">
        <v>19497.941073102131</v>
      </c>
      <c r="H139" s="122">
        <v>32225.987449334963</v>
      </c>
      <c r="I139" s="122">
        <v>46011.287096831526</v>
      </c>
      <c r="J139" s="122">
        <v>44557.342497978323</v>
      </c>
      <c r="K139" s="122">
        <v>29338.632067256585</v>
      </c>
      <c r="L139" s="122">
        <v>27853.76298983036</v>
      </c>
    </row>
    <row r="140" spans="1:12">
      <c r="A140" s="124">
        <v>777.71156318057717</v>
      </c>
      <c r="B140" s="122">
        <v>4924.1123965174447</v>
      </c>
      <c r="C140" s="122">
        <v>10871.001526247339</v>
      </c>
      <c r="D140" s="122">
        <v>12700.889450736722</v>
      </c>
      <c r="E140" s="122">
        <v>24409.395100387956</v>
      </c>
      <c r="F140" s="122">
        <v>23441.356628392525</v>
      </c>
      <c r="G140" s="122">
        <v>25014.452863632236</v>
      </c>
      <c r="H140" s="122">
        <v>41647.553516919412</v>
      </c>
      <c r="I140" s="122">
        <v>68371.617840661042</v>
      </c>
      <c r="J140" s="122">
        <v>90219.423256399939</v>
      </c>
      <c r="K140" s="122">
        <v>139575.2043229063</v>
      </c>
      <c r="L140" s="122">
        <v>240222.60215789711</v>
      </c>
    </row>
    <row r="141" spans="1:12">
      <c r="A141" s="124">
        <v>436.20686084928195</v>
      </c>
      <c r="B141" s="122">
        <v>4924.1123965174447</v>
      </c>
      <c r="C141" s="122">
        <v>5919.166271998025</v>
      </c>
      <c r="D141" s="122">
        <v>8993.2835737795085</v>
      </c>
      <c r="E141" s="122">
        <v>16159.222104239107</v>
      </c>
      <c r="F141" s="122">
        <v>18900.146249598456</v>
      </c>
      <c r="G141" s="122">
        <v>24406.049093045476</v>
      </c>
      <c r="H141" s="122">
        <v>40436.247229981607</v>
      </c>
      <c r="I141" s="122">
        <v>37842.138404627185</v>
      </c>
      <c r="J141" s="122">
        <v>57372.144587467665</v>
      </c>
      <c r="K141" s="122">
        <v>93704.709991657481</v>
      </c>
      <c r="L141" s="122">
        <v>128504.62033678379</v>
      </c>
    </row>
    <row r="142" spans="1:12">
      <c r="A142" s="124">
        <v>277.60436747240948</v>
      </c>
      <c r="B142" s="122">
        <v>4924.1123965174447</v>
      </c>
      <c r="C142" s="122">
        <v>7204.0877983593382</v>
      </c>
      <c r="D142" s="122">
        <v>12194.791901320048</v>
      </c>
      <c r="E142" s="122">
        <v>13532.78833510078</v>
      </c>
      <c r="F142" s="122">
        <v>34055.553337238111</v>
      </c>
      <c r="G142" s="122">
        <v>48637.174496128166</v>
      </c>
      <c r="H142" s="122">
        <v>38470.24683299919</v>
      </c>
      <c r="I142" s="122">
        <v>50914.444976492283</v>
      </c>
      <c r="J142" s="122">
        <v>78774.600831040065</v>
      </c>
      <c r="K142" s="122">
        <v>63249.974754209325</v>
      </c>
      <c r="L142" s="122">
        <v>62081.692083518559</v>
      </c>
    </row>
    <row r="143" spans="1:12">
      <c r="A143" s="124">
        <v>36.204678181192293</v>
      </c>
      <c r="B143" s="122">
        <v>4924.1123965174447</v>
      </c>
      <c r="C143" s="122">
        <v>5922.6992301947466</v>
      </c>
      <c r="D143" s="122">
        <v>10113.925453768572</v>
      </c>
      <c r="E143" s="122">
        <v>11091.351330803653</v>
      </c>
      <c r="F143" s="122">
        <v>9821.0498647736513</v>
      </c>
      <c r="G143" s="122">
        <v>9315.4591500833012</v>
      </c>
      <c r="H143" s="122">
        <v>10241.507225631341</v>
      </c>
      <c r="I143" s="122">
        <v>5495.3720187243744</v>
      </c>
      <c r="J143" s="122">
        <v>5446.723906430414</v>
      </c>
      <c r="K143" s="122">
        <v>7250.5707705771692</v>
      </c>
      <c r="L143" s="122">
        <v>5407.4162019592986</v>
      </c>
    </row>
    <row r="144" spans="1:12">
      <c r="A144" s="124">
        <v>146.19396089581116</v>
      </c>
      <c r="B144" s="122">
        <v>4924.1123965174447</v>
      </c>
      <c r="C144" s="122">
        <v>8835.904568423688</v>
      </c>
      <c r="D144" s="122">
        <v>7224.5507340868571</v>
      </c>
      <c r="E144" s="122">
        <v>10838.383360414016</v>
      </c>
      <c r="F144" s="122">
        <v>17437.66165338127</v>
      </c>
      <c r="G144" s="122">
        <v>12725.238572894395</v>
      </c>
      <c r="H144" s="122">
        <v>11404.693454274566</v>
      </c>
      <c r="I144" s="122">
        <v>22630.050131585569</v>
      </c>
      <c r="J144" s="122">
        <v>28341.677824830149</v>
      </c>
      <c r="K144" s="122">
        <v>45225.860741385273</v>
      </c>
      <c r="L144" s="122">
        <v>36294.43309196199</v>
      </c>
    </row>
    <row r="145" spans="1:12">
      <c r="A145" s="124">
        <v>-6.8267131979869511</v>
      </c>
      <c r="B145" s="122">
        <v>4924.1123965174447</v>
      </c>
      <c r="C145" s="122">
        <v>4329.2736616409311</v>
      </c>
      <c r="D145" s="122">
        <v>5545.4349472203685</v>
      </c>
      <c r="E145" s="122">
        <v>415.4676687954634</v>
      </c>
      <c r="F145" s="122">
        <v>1961.283424900771</v>
      </c>
      <c r="G145" s="122">
        <v>5128.3817866025565</v>
      </c>
      <c r="H145" s="122">
        <v>4939.4539026809107</v>
      </c>
      <c r="I145" s="122">
        <v>445.39894932003517</v>
      </c>
      <c r="J145" s="122">
        <v>-386.61319260066648</v>
      </c>
      <c r="K145" s="122">
        <v>-1360.0445282080705</v>
      </c>
      <c r="L145" s="122">
        <v>-2879.571486048304</v>
      </c>
    </row>
    <row r="146" spans="1:12">
      <c r="A146" s="124">
        <v>91.468117058682978</v>
      </c>
      <c r="B146" s="122">
        <v>4924.1123965174447</v>
      </c>
      <c r="C146" s="122">
        <v>5374.2576831545994</v>
      </c>
      <c r="D146" s="122">
        <v>2904.6960991771266</v>
      </c>
      <c r="E146" s="122">
        <v>4983.7526880927599</v>
      </c>
      <c r="F146" s="122">
        <v>11044.344534764468</v>
      </c>
      <c r="G146" s="122">
        <v>13815.005415757609</v>
      </c>
      <c r="H146" s="122">
        <v>12297.615318253567</v>
      </c>
      <c r="I146" s="122">
        <v>15910.275452502134</v>
      </c>
      <c r="J146" s="122">
        <v>14849.325293824546</v>
      </c>
      <c r="K146" s="122">
        <v>17979.915910107946</v>
      </c>
      <c r="L146" s="122">
        <v>24202.388993737681</v>
      </c>
    </row>
    <row r="147" spans="1:12">
      <c r="A147" s="124">
        <v>40.26782803930508</v>
      </c>
      <c r="B147" s="122">
        <v>4924.1123965174447</v>
      </c>
      <c r="C147" s="122">
        <v>5848.6084037517212</v>
      </c>
      <c r="D147" s="122">
        <v>8280.1400392793767</v>
      </c>
      <c r="E147" s="122">
        <v>11951.183235348693</v>
      </c>
      <c r="F147" s="122">
        <v>9983.029240365493</v>
      </c>
      <c r="G147" s="122">
        <v>7177.4770637991187</v>
      </c>
      <c r="H147" s="122">
        <v>4268.4020542068411</v>
      </c>
      <c r="I147" s="122">
        <v>5239.7626325959991</v>
      </c>
      <c r="J147" s="122">
        <v>5463.1821647765482</v>
      </c>
      <c r="K147" s="122">
        <v>3696.1423314259991</v>
      </c>
      <c r="L147" s="122">
        <v>8615.850306465778</v>
      </c>
    </row>
    <row r="148" spans="1:12">
      <c r="A148" s="124">
        <v>131.17938415205143</v>
      </c>
      <c r="B148" s="122">
        <v>4924.1123965174447</v>
      </c>
      <c r="C148" s="122">
        <v>6243.3229530082463</v>
      </c>
      <c r="D148" s="122">
        <v>12916.838028989601</v>
      </c>
      <c r="E148" s="122">
        <v>12825.113687197161</v>
      </c>
      <c r="F148" s="122">
        <v>5758.3839157854472</v>
      </c>
      <c r="G148" s="122">
        <v>7934.1186087698861</v>
      </c>
      <c r="H148" s="122">
        <v>11757.139571216769</v>
      </c>
      <c r="I148" s="122">
        <v>12929.155784174476</v>
      </c>
      <c r="J148" s="122">
        <v>22024.146655987137</v>
      </c>
      <c r="K148" s="122">
        <v>29419.632695932502</v>
      </c>
      <c r="L148" s="122">
        <v>35753.240040404409</v>
      </c>
    </row>
    <row r="149" spans="1:12">
      <c r="A149" s="124">
        <v>106.88937127416183</v>
      </c>
      <c r="B149" s="122">
        <v>4924.1123965174447</v>
      </c>
      <c r="C149" s="122">
        <v>4876.4271171114851</v>
      </c>
      <c r="D149" s="122">
        <v>4249.2506058671952</v>
      </c>
      <c r="E149" s="122">
        <v>6995.0106961531528</v>
      </c>
      <c r="F149" s="122">
        <v>8967.4099613367143</v>
      </c>
      <c r="G149" s="122">
        <v>14315.693766898068</v>
      </c>
      <c r="H149" s="122">
        <v>21792.338443095447</v>
      </c>
      <c r="I149" s="122">
        <v>15313.339392748399</v>
      </c>
      <c r="J149" s="122">
        <v>16692.5246584704</v>
      </c>
      <c r="K149" s="122">
        <v>22828.521918153925</v>
      </c>
      <c r="L149" s="122">
        <v>27845.658132508994</v>
      </c>
    </row>
    <row r="150" spans="1:12">
      <c r="A150" s="124">
        <v>156.66545375091687</v>
      </c>
      <c r="B150" s="122">
        <v>4924.1123965174447</v>
      </c>
      <c r="C150" s="122">
        <v>4564.3192400846674</v>
      </c>
      <c r="D150" s="122">
        <v>9351.9821266326962</v>
      </c>
      <c r="E150" s="122">
        <v>6989.097713058618</v>
      </c>
      <c r="F150" s="122">
        <v>7353.4457576530331</v>
      </c>
      <c r="G150" s="122">
        <v>15441.731065664419</v>
      </c>
      <c r="H150" s="122">
        <v>22633.679768571703</v>
      </c>
      <c r="I150" s="122">
        <v>22011.988760072931</v>
      </c>
      <c r="J150" s="122">
        <v>19209.012255518086</v>
      </c>
      <c r="K150" s="122">
        <v>25949.152881308059</v>
      </c>
      <c r="L150" s="122">
        <v>44136.17464483506</v>
      </c>
    </row>
    <row r="151" spans="1:12">
      <c r="A151" s="124">
        <v>147.96197309530979</v>
      </c>
      <c r="B151" s="122">
        <v>4924.1123965174447</v>
      </c>
      <c r="C151" s="122">
        <v>4642.5020466997667</v>
      </c>
      <c r="D151" s="122">
        <v>3928.3986577557043</v>
      </c>
      <c r="E151" s="122">
        <v>11077.457441862989</v>
      </c>
      <c r="F151" s="122">
        <v>13651.972282495837</v>
      </c>
      <c r="G151" s="122">
        <v>15691.086440479641</v>
      </c>
      <c r="H151" s="122">
        <v>18019.514538376709</v>
      </c>
      <c r="I151" s="122">
        <v>24477.50042930937</v>
      </c>
      <c r="J151" s="122">
        <v>22027.635295578937</v>
      </c>
      <c r="K151" s="122">
        <v>32348.713075192027</v>
      </c>
      <c r="L151" s="122">
        <v>39508.885080453736</v>
      </c>
    </row>
    <row r="152" spans="1:12">
      <c r="A152" s="124">
        <v>122.49729097722548</v>
      </c>
      <c r="B152" s="122">
        <v>4924.1123965174447</v>
      </c>
      <c r="C152" s="122">
        <v>6274.9630270336183</v>
      </c>
      <c r="D152" s="122">
        <v>6835.6626264033312</v>
      </c>
      <c r="E152" s="122">
        <v>10670.712562154677</v>
      </c>
      <c r="F152" s="122">
        <v>17816.513933355804</v>
      </c>
      <c r="G152" s="122">
        <v>19612.29356246852</v>
      </c>
      <c r="H152" s="122">
        <v>15705.890710382646</v>
      </c>
      <c r="I152" s="122">
        <v>11246.932764656696</v>
      </c>
      <c r="J152" s="122">
        <v>18630.413268843149</v>
      </c>
      <c r="K152" s="122">
        <v>31435.017823654125</v>
      </c>
      <c r="L152" s="122">
        <v>30261.067850114443</v>
      </c>
    </row>
    <row r="153" spans="1:12">
      <c r="A153" s="124">
        <v>165.89904812744197</v>
      </c>
      <c r="B153" s="122">
        <v>4924.1123965174447</v>
      </c>
      <c r="C153" s="122">
        <v>2074.854814459527</v>
      </c>
      <c r="D153" s="122">
        <v>3060.4930627016338</v>
      </c>
      <c r="E153" s="122">
        <v>5395.4028455551561</v>
      </c>
      <c r="F153" s="122">
        <v>4491.5060399246468</v>
      </c>
      <c r="G153" s="122">
        <v>2470.5241940513561</v>
      </c>
      <c r="H153" s="122">
        <v>9116.4512364012662</v>
      </c>
      <c r="I153" s="122">
        <v>14251.23756536092</v>
      </c>
      <c r="J153" s="122">
        <v>22814.669298888231</v>
      </c>
      <c r="K153" s="122">
        <v>38456.061543645948</v>
      </c>
      <c r="L153" s="122">
        <v>53085.614058973762</v>
      </c>
    </row>
    <row r="154" spans="1:12">
      <c r="A154" s="124">
        <v>234.06369315626003</v>
      </c>
      <c r="B154" s="122">
        <v>4924.1123965174447</v>
      </c>
      <c r="C154" s="122">
        <v>10328.358378363529</v>
      </c>
      <c r="D154" s="122">
        <v>10353.005385680537</v>
      </c>
      <c r="E154" s="122">
        <v>15215.718852591599</v>
      </c>
      <c r="F154" s="122">
        <v>19268.815403287852</v>
      </c>
      <c r="G154" s="122">
        <v>27810.164324646994</v>
      </c>
      <c r="H154" s="122">
        <v>37244.41319891133</v>
      </c>
      <c r="I154" s="122">
        <v>45263.326030429038</v>
      </c>
      <c r="J154" s="122">
        <v>38386.159067958972</v>
      </c>
      <c r="K154" s="122">
        <v>39349.414643497694</v>
      </c>
      <c r="L154" s="122">
        <v>58284.079659049894</v>
      </c>
    </row>
    <row r="155" spans="1:12">
      <c r="A155" s="124">
        <v>22.65245637898861</v>
      </c>
      <c r="B155" s="122">
        <v>4924.1123965174447</v>
      </c>
      <c r="C155" s="122">
        <v>6495.4319670811783</v>
      </c>
      <c r="D155" s="122">
        <v>4554.2731321197498</v>
      </c>
      <c r="E155" s="122">
        <v>4310.2423632047448</v>
      </c>
      <c r="F155" s="122">
        <v>3440.8462651149894</v>
      </c>
      <c r="G155" s="122">
        <v>7542.3487919738291</v>
      </c>
      <c r="H155" s="122">
        <v>9688.6110357265989</v>
      </c>
      <c r="I155" s="122">
        <v>8568.2557540445778</v>
      </c>
      <c r="J155" s="122">
        <v>8524.0083685998761</v>
      </c>
      <c r="K155" s="122">
        <v>6413.4029881360984</v>
      </c>
      <c r="L155" s="122">
        <v>3230.3417273148279</v>
      </c>
    </row>
    <row r="156" spans="1:12">
      <c r="A156" s="124">
        <v>47.465398434033396</v>
      </c>
      <c r="B156" s="122">
        <v>4924.1123965174447</v>
      </c>
      <c r="C156" s="122">
        <v>5709.0259585757431</v>
      </c>
      <c r="D156" s="122">
        <v>12020.300540605043</v>
      </c>
      <c r="E156" s="122">
        <v>12334.022453467958</v>
      </c>
      <c r="F156" s="122">
        <v>14162.585870809271</v>
      </c>
      <c r="G156" s="122">
        <v>10765.405447817979</v>
      </c>
      <c r="H156" s="122">
        <v>6875.0785305506397</v>
      </c>
      <c r="I156" s="122">
        <v>7718.2249058296784</v>
      </c>
      <c r="J156" s="122">
        <v>4946.6378098383393</v>
      </c>
      <c r="K156" s="122">
        <v>4459.5432439435226</v>
      </c>
      <c r="L156" s="122">
        <v>8678.6561489610231</v>
      </c>
    </row>
    <row r="157" spans="1:12">
      <c r="A157" s="124">
        <v>159.4942424413675</v>
      </c>
      <c r="B157" s="122">
        <v>4924.1123965174447</v>
      </c>
      <c r="C157" s="122">
        <v>12122.805766750789</v>
      </c>
      <c r="D157" s="122">
        <v>10004.198673965357</v>
      </c>
      <c r="E157" s="122">
        <v>1511.6941910836185</v>
      </c>
      <c r="F157" s="122">
        <v>5227.6644354552154</v>
      </c>
      <c r="G157" s="122">
        <v>8319.4675373752252</v>
      </c>
      <c r="H157" s="122">
        <v>19013.77142571205</v>
      </c>
      <c r="I157" s="122">
        <v>29132.078159145589</v>
      </c>
      <c r="J157" s="122">
        <v>38428.725595961463</v>
      </c>
      <c r="K157" s="122">
        <v>32589.076147397427</v>
      </c>
      <c r="L157" s="122">
        <v>42645.384901195896</v>
      </c>
    </row>
    <row r="158" spans="1:12">
      <c r="A158" s="124">
        <v>40.963038470400896</v>
      </c>
      <c r="B158" s="122">
        <v>4924.1123965174447</v>
      </c>
      <c r="C158" s="122">
        <v>3799.5161285546819</v>
      </c>
      <c r="D158" s="122">
        <v>5293.4115635528124</v>
      </c>
      <c r="E158" s="122">
        <v>6640.0539499788938</v>
      </c>
      <c r="F158" s="122">
        <v>8241.3995552835513</v>
      </c>
      <c r="G158" s="122">
        <v>7937.3272218322818</v>
      </c>
      <c r="H158" s="122">
        <v>21225.116202504254</v>
      </c>
      <c r="I158" s="122">
        <v>17398.747348621058</v>
      </c>
      <c r="J158" s="122">
        <v>15053.303776911664</v>
      </c>
      <c r="K158" s="122">
        <v>11447.373869892035</v>
      </c>
      <c r="L158" s="122">
        <v>5449.2948557779146</v>
      </c>
    </row>
    <row r="159" spans="1:12">
      <c r="A159" s="124">
        <v>4.5468351041777284</v>
      </c>
      <c r="B159" s="122">
        <v>4924.1123965174447</v>
      </c>
      <c r="C159" s="122">
        <v>2673.4395677509738</v>
      </c>
      <c r="D159" s="122">
        <v>3006.1688066833894</v>
      </c>
      <c r="E159" s="122">
        <v>2632.6289388157084</v>
      </c>
      <c r="F159" s="122">
        <v>3662.2218370829378</v>
      </c>
      <c r="G159" s="122">
        <v>1264.5067588734646</v>
      </c>
      <c r="H159" s="122">
        <v>492.00353814598475</v>
      </c>
      <c r="I159" s="122">
        <v>-1143.45549605015</v>
      </c>
      <c r="J159" s="122">
        <v>380.9391446843747</v>
      </c>
      <c r="K159" s="122">
        <v>1258.440116900375</v>
      </c>
      <c r="L159" s="122">
        <v>2564.7141291132775</v>
      </c>
    </row>
    <row r="160" spans="1:12">
      <c r="A160" s="124">
        <v>114.10266002030832</v>
      </c>
      <c r="B160" s="122">
        <v>4924.1123965174447</v>
      </c>
      <c r="C160" s="122">
        <v>7424.3059609892116</v>
      </c>
      <c r="D160" s="122">
        <v>7352.0407369264904</v>
      </c>
      <c r="E160" s="122">
        <v>12998.839722065826</v>
      </c>
      <c r="F160" s="122">
        <v>12825.059885603783</v>
      </c>
      <c r="G160" s="122">
        <v>16863.626326081074</v>
      </c>
      <c r="H160" s="122">
        <v>20956.699290736207</v>
      </c>
      <c r="I160" s="122">
        <v>18981.778327799937</v>
      </c>
      <c r="J160" s="122">
        <v>21257.205318814664</v>
      </c>
      <c r="K160" s="122">
        <v>21013.849665813323</v>
      </c>
      <c r="L160" s="122">
        <v>26683.846423605501</v>
      </c>
    </row>
    <row r="161" spans="1:12">
      <c r="A161" s="124">
        <v>31.260629098842173</v>
      </c>
      <c r="B161" s="122">
        <v>4924.1123965174447</v>
      </c>
      <c r="C161" s="122">
        <v>2300.3911990388096</v>
      </c>
      <c r="D161" s="122">
        <v>610.81238289914927</v>
      </c>
      <c r="E161" s="122">
        <v>4343.6763605004417</v>
      </c>
      <c r="F161" s="122">
        <v>1086.9449549246119</v>
      </c>
      <c r="G161" s="122">
        <v>1858.8851747619237</v>
      </c>
      <c r="H161" s="122">
        <v>25.918493485601175</v>
      </c>
      <c r="I161" s="122">
        <v>2313.2146104771564</v>
      </c>
      <c r="J161" s="122">
        <v>6578.0785976145908</v>
      </c>
      <c r="K161" s="122">
        <v>6248.1071635381941</v>
      </c>
      <c r="L161" s="122">
        <v>11599.291720250571</v>
      </c>
    </row>
    <row r="162" spans="1:12">
      <c r="A162" s="124">
        <v>46.071558059502756</v>
      </c>
      <c r="B162" s="122">
        <v>4924.1123965174447</v>
      </c>
      <c r="C162" s="122">
        <v>5686.8286881259119</v>
      </c>
      <c r="D162" s="122">
        <v>3834.4583445233311</v>
      </c>
      <c r="E162" s="122">
        <v>3953.4280165897762</v>
      </c>
      <c r="F162" s="122">
        <v>4633.1159076834992</v>
      </c>
      <c r="G162" s="122">
        <v>4605.4071641954233</v>
      </c>
      <c r="H162" s="122">
        <v>6601.1540055007317</v>
      </c>
      <c r="I162" s="122">
        <v>7940.7913604858823</v>
      </c>
      <c r="J162" s="122">
        <v>8795.6027710799735</v>
      </c>
      <c r="K162" s="122">
        <v>8701.5929652832383</v>
      </c>
      <c r="L162" s="122">
        <v>12840.057707818476</v>
      </c>
    </row>
    <row r="163" spans="1:12">
      <c r="A163" s="124">
        <v>7.0066221033641973</v>
      </c>
      <c r="B163" s="122">
        <v>4924.1123965174447</v>
      </c>
      <c r="C163" s="122">
        <v>3634.1834326290236</v>
      </c>
      <c r="D163" s="122">
        <v>721.61360561664605</v>
      </c>
      <c r="E163" s="122">
        <v>-210.87888169138841</v>
      </c>
      <c r="F163" s="122">
        <v>-586.59428684432396</v>
      </c>
      <c r="G163" s="122">
        <v>-1510.5904709802576</v>
      </c>
      <c r="H163" s="122">
        <v>504.63144057125191</v>
      </c>
      <c r="I163" s="122">
        <v>-236.57898552513507</v>
      </c>
      <c r="J163" s="122">
        <v>1288.8055851967856</v>
      </c>
      <c r="K163" s="122">
        <v>2690.2679579241521</v>
      </c>
      <c r="L163" s="122">
        <v>4964.6285216222095</v>
      </c>
    </row>
    <row r="164" spans="1:12">
      <c r="A164" s="124">
        <v>231.40957248542873</v>
      </c>
      <c r="B164" s="122">
        <v>4924.1123965174447</v>
      </c>
      <c r="C164" s="122">
        <v>11515.675153669858</v>
      </c>
      <c r="D164" s="122">
        <v>13393.545120428189</v>
      </c>
      <c r="E164" s="122">
        <v>10759.869335772455</v>
      </c>
      <c r="F164" s="122">
        <v>19570.177962782509</v>
      </c>
      <c r="G164" s="122">
        <v>16503.536322564763</v>
      </c>
      <c r="H164" s="122">
        <v>15202.323036056179</v>
      </c>
      <c r="I164" s="122">
        <v>20365.364595991883</v>
      </c>
      <c r="J164" s="122">
        <v>21558.377063485103</v>
      </c>
      <c r="K164" s="122">
        <v>32674.676651473819</v>
      </c>
      <c r="L164" s="122">
        <v>67304.73900387311</v>
      </c>
    </row>
    <row r="165" spans="1:12">
      <c r="A165" s="124">
        <v>7.3496576669710834</v>
      </c>
      <c r="B165" s="122">
        <v>4924.1123965174447</v>
      </c>
      <c r="C165" s="122">
        <v>2609.6496528579619</v>
      </c>
      <c r="D165" s="122">
        <v>1823.8605039117501</v>
      </c>
      <c r="E165" s="122">
        <v>892.46941953141959</v>
      </c>
      <c r="F165" s="122">
        <v>3581.8132882955897</v>
      </c>
      <c r="G165" s="122">
        <v>3909.8337624539872</v>
      </c>
      <c r="H165" s="122">
        <v>4892.5726423861342</v>
      </c>
      <c r="I165" s="122">
        <v>5312.0491051865065</v>
      </c>
      <c r="J165" s="122">
        <v>9333.7611565704756</v>
      </c>
      <c r="K165" s="122">
        <v>7326.4385843583586</v>
      </c>
      <c r="L165" s="122">
        <v>833.48572544573108</v>
      </c>
    </row>
    <row r="166" spans="1:12">
      <c r="A166" s="124">
        <v>16.865205444689938</v>
      </c>
      <c r="B166" s="122">
        <v>4924.1123965174447</v>
      </c>
      <c r="C166" s="122">
        <v>2808.8239917149331</v>
      </c>
      <c r="D166" s="122">
        <v>3138.3739494622469</v>
      </c>
      <c r="E166" s="122">
        <v>3920.0906036815668</v>
      </c>
      <c r="F166" s="122">
        <v>5271.7805096307802</v>
      </c>
      <c r="G166" s="122">
        <v>4352.7914282547445</v>
      </c>
      <c r="H166" s="122">
        <v>4917.3760193378403</v>
      </c>
      <c r="I166" s="122">
        <v>4763.2959701322943</v>
      </c>
      <c r="J166" s="122">
        <v>1001.2126748914379</v>
      </c>
      <c r="K166" s="122">
        <v>2834.1294913812089</v>
      </c>
      <c r="L166" s="122">
        <v>4652.2206417812231</v>
      </c>
    </row>
    <row r="167" spans="1:12">
      <c r="A167" s="124">
        <v>8.5256291128836956</v>
      </c>
      <c r="B167" s="122">
        <v>4924.1123965174447</v>
      </c>
      <c r="C167" s="122">
        <v>3656.3716715926803</v>
      </c>
      <c r="D167" s="122">
        <v>7529.1913257787783</v>
      </c>
      <c r="E167" s="122">
        <v>7502.1185383466236</v>
      </c>
      <c r="F167" s="122">
        <v>4004.8249578350496</v>
      </c>
      <c r="G167" s="122">
        <v>4701.1319438542214</v>
      </c>
      <c r="H167" s="122">
        <v>4566.9403386998893</v>
      </c>
      <c r="I167" s="122">
        <v>2453.5999489716123</v>
      </c>
      <c r="J167" s="122">
        <v>-1158.1053021331918</v>
      </c>
      <c r="K167" s="122">
        <v>111.68357347757774</v>
      </c>
      <c r="L167" s="122">
        <v>847.39409363999312</v>
      </c>
    </row>
    <row r="168" spans="1:12">
      <c r="A168" s="124">
        <v>10.421545479063733</v>
      </c>
      <c r="B168" s="122">
        <v>4924.1123965174447</v>
      </c>
      <c r="C168" s="122">
        <v>2791.1804849699038</v>
      </c>
      <c r="D168" s="122">
        <v>6672.5821513633819</v>
      </c>
      <c r="E168" s="122">
        <v>8559.1853950628793</v>
      </c>
      <c r="F168" s="122">
        <v>7736.6821528399087</v>
      </c>
      <c r="G168" s="122">
        <v>4603.9008126617373</v>
      </c>
      <c r="H168" s="122">
        <v>2849.676516664832</v>
      </c>
      <c r="I168" s="122">
        <v>1891.7110829759731</v>
      </c>
      <c r="J168" s="122">
        <v>-43.676164155283914</v>
      </c>
      <c r="K168" s="122">
        <v>-162.82734151269233</v>
      </c>
      <c r="L168" s="122">
        <v>1336.8759896141928</v>
      </c>
    </row>
    <row r="169" spans="1:12">
      <c r="A169" s="124">
        <v>-2.6779374151323019</v>
      </c>
      <c r="B169" s="122">
        <v>4924.1123965174447</v>
      </c>
      <c r="C169" s="122">
        <v>842.84641294792709</v>
      </c>
      <c r="D169" s="122">
        <v>1229.5566953345042</v>
      </c>
      <c r="E169" s="122">
        <v>0.59138357570463995</v>
      </c>
      <c r="F169" s="122">
        <v>-438.56364446971747</v>
      </c>
      <c r="G169" s="122">
        <v>134.6496960357872</v>
      </c>
      <c r="H169" s="122">
        <v>1698.8118686088037</v>
      </c>
      <c r="I169" s="122">
        <v>244.6563764213679</v>
      </c>
      <c r="J169" s="122">
        <v>255.72303264249058</v>
      </c>
      <c r="K169" s="122">
        <v>-231.32079417017303</v>
      </c>
      <c r="L169" s="122">
        <v>1725.0961596129582</v>
      </c>
    </row>
    <row r="170" spans="1:12">
      <c r="A170" s="124">
        <v>168.76699987811696</v>
      </c>
      <c r="B170" s="122">
        <v>4924.1123965174447</v>
      </c>
      <c r="C170" s="122">
        <v>4268.3459405893846</v>
      </c>
      <c r="D170" s="122">
        <v>2795.006989533158</v>
      </c>
      <c r="E170" s="122">
        <v>3849.4876736912738</v>
      </c>
      <c r="F170" s="122">
        <v>3886.5018162417437</v>
      </c>
      <c r="G170" s="122">
        <v>10326.222420082373</v>
      </c>
      <c r="H170" s="122">
        <v>21069.053604469071</v>
      </c>
      <c r="I170" s="122">
        <v>23720.13928796272</v>
      </c>
      <c r="J170" s="122">
        <v>17245.789859573404</v>
      </c>
      <c r="K170" s="122">
        <v>32810.386533548757</v>
      </c>
      <c r="L170" s="122">
        <v>51402.41774888138</v>
      </c>
    </row>
    <row r="171" spans="1:12">
      <c r="A171" s="124">
        <v>76.678954823779904</v>
      </c>
      <c r="B171" s="122">
        <v>4924.1123965174447</v>
      </c>
      <c r="C171" s="122">
        <v>4902.3894450549524</v>
      </c>
      <c r="D171" s="122">
        <v>9467.5761505195096</v>
      </c>
      <c r="E171" s="122">
        <v>6126.2819016949325</v>
      </c>
      <c r="F171" s="122">
        <v>5812.8561671103835</v>
      </c>
      <c r="G171" s="122">
        <v>6679.5817002855201</v>
      </c>
      <c r="H171" s="122">
        <v>11025.667358960345</v>
      </c>
      <c r="I171" s="122">
        <v>15693.221150288362</v>
      </c>
      <c r="J171" s="122">
        <v>24060.567965923212</v>
      </c>
      <c r="K171" s="122">
        <v>22700.48572779867</v>
      </c>
      <c r="L171" s="122">
        <v>17883.50964818873</v>
      </c>
    </row>
    <row r="172" spans="1:12">
      <c r="A172" s="124">
        <v>94.643453060130398</v>
      </c>
      <c r="B172" s="122">
        <v>4924.1123965174447</v>
      </c>
      <c r="C172" s="122">
        <v>9100.2425902890409</v>
      </c>
      <c r="D172" s="122">
        <v>7510.3601101846616</v>
      </c>
      <c r="E172" s="122">
        <v>8043.3497758085614</v>
      </c>
      <c r="F172" s="122">
        <v>9776.3247705267913</v>
      </c>
      <c r="G172" s="122">
        <v>13891.52872839952</v>
      </c>
      <c r="H172" s="122">
        <v>9187.841318797542</v>
      </c>
      <c r="I172" s="122">
        <v>8185.4137237704963</v>
      </c>
      <c r="J172" s="122">
        <v>12808.693633841169</v>
      </c>
      <c r="K172" s="122">
        <v>14661.8508827884</v>
      </c>
      <c r="L172" s="122">
        <v>25250.719626132886</v>
      </c>
    </row>
    <row r="173" spans="1:12">
      <c r="A173" s="124">
        <v>163.20976870984097</v>
      </c>
      <c r="B173" s="122">
        <v>4924.1123965174447</v>
      </c>
      <c r="C173" s="122">
        <v>4856.4249281984085</v>
      </c>
      <c r="D173" s="122">
        <v>7066.6055069797676</v>
      </c>
      <c r="E173" s="122">
        <v>10131.212099836803</v>
      </c>
      <c r="F173" s="122">
        <v>9533.9860164124875</v>
      </c>
      <c r="G173" s="122">
        <v>11002.044928462314</v>
      </c>
      <c r="H173" s="122">
        <v>14213.453876476768</v>
      </c>
      <c r="I173" s="122">
        <v>24600.410229482299</v>
      </c>
      <c r="J173" s="122">
        <v>33787.299569685827</v>
      </c>
      <c r="K173" s="122">
        <v>39608.658603571734</v>
      </c>
      <c r="L173" s="122">
        <v>44548.888034197204</v>
      </c>
    </row>
    <row r="174" spans="1:12">
      <c r="A174" s="124">
        <v>208.94871076305924</v>
      </c>
      <c r="B174" s="122">
        <v>4924.1123965174447</v>
      </c>
      <c r="C174" s="122">
        <v>6810.0447639520098</v>
      </c>
      <c r="D174" s="122">
        <v>14847.797509687389</v>
      </c>
      <c r="E174" s="122">
        <v>22465.007545123488</v>
      </c>
      <c r="F174" s="122">
        <v>16243.324583391568</v>
      </c>
      <c r="G174" s="122">
        <v>33380.632787735682</v>
      </c>
      <c r="H174" s="122">
        <v>38872.558365512348</v>
      </c>
      <c r="I174" s="122">
        <v>58735.195965218008</v>
      </c>
      <c r="J174" s="122">
        <v>58667.477338348224</v>
      </c>
      <c r="K174" s="122">
        <v>37368.344476253078</v>
      </c>
      <c r="L174" s="122">
        <v>43268.553807001597</v>
      </c>
    </row>
    <row r="175" spans="1:12">
      <c r="A175" s="124">
        <v>35.415851223224671</v>
      </c>
      <c r="B175" s="122">
        <v>4924.1123965174447</v>
      </c>
      <c r="C175" s="122">
        <v>4082.1165738886975</v>
      </c>
      <c r="D175" s="122">
        <v>6902.944275447373</v>
      </c>
      <c r="E175" s="122">
        <v>9432.4143380743772</v>
      </c>
      <c r="F175" s="122">
        <v>16230.374992585395</v>
      </c>
      <c r="G175" s="122">
        <v>14783.515090560239</v>
      </c>
      <c r="H175" s="122">
        <v>11704.540679213535</v>
      </c>
      <c r="I175" s="122">
        <v>14855.30636136905</v>
      </c>
      <c r="J175" s="122">
        <v>13080.298001026036</v>
      </c>
      <c r="K175" s="122">
        <v>3295.6626160109763</v>
      </c>
      <c r="L175" s="122">
        <v>2822.0002399656169</v>
      </c>
    </row>
    <row r="176" spans="1:12">
      <c r="A176" s="124">
        <v>41.788188491284316</v>
      </c>
      <c r="B176" s="122">
        <v>4924.1123965174447</v>
      </c>
      <c r="C176" s="122">
        <v>3851.1914627916831</v>
      </c>
      <c r="D176" s="122">
        <v>6267.5016682067489</v>
      </c>
      <c r="E176" s="122">
        <v>4848.5179615967118</v>
      </c>
      <c r="F176" s="122">
        <v>6932.657825007831</v>
      </c>
      <c r="G176" s="122">
        <v>6225.6380113916221</v>
      </c>
      <c r="H176" s="122">
        <v>4031.8699294146372</v>
      </c>
      <c r="I176" s="122">
        <v>7121.9328290603553</v>
      </c>
      <c r="J176" s="122">
        <v>8747.10077625138</v>
      </c>
      <c r="K176" s="122">
        <v>11772.012603918332</v>
      </c>
      <c r="L176" s="122">
        <v>10529.181598023959</v>
      </c>
    </row>
    <row r="177" spans="1:12">
      <c r="A177" s="124">
        <v>2.3249972736122032E-2</v>
      </c>
      <c r="B177" s="122">
        <v>4924.1123965174447</v>
      </c>
      <c r="C177" s="122">
        <v>1779.3599552306505</v>
      </c>
      <c r="D177" s="122">
        <v>4731.372005779438</v>
      </c>
      <c r="E177" s="122">
        <v>2132.6852142729504</v>
      </c>
      <c r="F177" s="122">
        <v>1221.1166573713808</v>
      </c>
      <c r="G177" s="122">
        <v>2767.1756501227719</v>
      </c>
      <c r="H177" s="122">
        <v>1405.001524604465</v>
      </c>
      <c r="I177" s="122">
        <v>881.11549814324553</v>
      </c>
      <c r="J177" s="122">
        <v>2037.3700117842263</v>
      </c>
      <c r="K177" s="122">
        <v>2092.6056680956117</v>
      </c>
      <c r="L177" s="122">
        <v>356.39505751692286</v>
      </c>
    </row>
    <row r="178" spans="1:12">
      <c r="A178" s="124">
        <v>28.857859441678951</v>
      </c>
      <c r="B178" s="122">
        <v>4924.1123965174447</v>
      </c>
      <c r="C178" s="122">
        <v>6437.1701427411099</v>
      </c>
      <c r="D178" s="122">
        <v>1266.5782693736337</v>
      </c>
      <c r="E178" s="122">
        <v>2466.9009724872822</v>
      </c>
      <c r="F178" s="122">
        <v>5896.0733140144421</v>
      </c>
      <c r="G178" s="122">
        <v>5733.1945736069702</v>
      </c>
      <c r="H178" s="122">
        <v>8966.4117875587599</v>
      </c>
      <c r="I178" s="122">
        <v>6663.0484013866771</v>
      </c>
      <c r="J178" s="122">
        <v>8621.0575066360943</v>
      </c>
      <c r="K178" s="122">
        <v>3930.2822720960448</v>
      </c>
      <c r="L178" s="122">
        <v>6966.7637841592059</v>
      </c>
    </row>
    <row r="179" spans="1:12">
      <c r="A179" s="124">
        <v>2.5607887146101245</v>
      </c>
      <c r="B179" s="122">
        <v>4924.1123965174447</v>
      </c>
      <c r="C179" s="122">
        <v>3444.8866445716603</v>
      </c>
      <c r="D179" s="122">
        <v>5386.3631309776265</v>
      </c>
      <c r="E179" s="122">
        <v>1995.9052346240933</v>
      </c>
      <c r="F179" s="122">
        <v>1360.4584779340375</v>
      </c>
      <c r="G179" s="122">
        <v>1474.8946065548807</v>
      </c>
      <c r="H179" s="122">
        <v>2213.0587214772677</v>
      </c>
      <c r="I179" s="122">
        <v>3024.2359761087673</v>
      </c>
      <c r="J179" s="122">
        <v>3700.4936119362701</v>
      </c>
      <c r="K179" s="122">
        <v>2202.2976705263054</v>
      </c>
      <c r="L179" s="122">
        <v>451.85275292414553</v>
      </c>
    </row>
    <row r="180" spans="1:12">
      <c r="A180" s="124">
        <v>144.27451741538016</v>
      </c>
      <c r="B180" s="122">
        <v>4924.1123965174447</v>
      </c>
      <c r="C180" s="122">
        <v>12139.090275191073</v>
      </c>
      <c r="D180" s="122">
        <v>15771.84627881374</v>
      </c>
      <c r="E180" s="122">
        <v>17160.243386343671</v>
      </c>
      <c r="F180" s="122">
        <v>11726.780027785358</v>
      </c>
      <c r="G180" s="122">
        <v>8882.7556202990454</v>
      </c>
      <c r="H180" s="122">
        <v>12799.441090732584</v>
      </c>
      <c r="I180" s="122">
        <v>19081.106186279419</v>
      </c>
      <c r="J180" s="122">
        <v>20439.402928672051</v>
      </c>
      <c r="K180" s="122">
        <v>30807.773985502339</v>
      </c>
      <c r="L180" s="122">
        <v>36119.416999335212</v>
      </c>
    </row>
    <row r="181" spans="1:12">
      <c r="A181" s="124">
        <v>60.674306446024403</v>
      </c>
      <c r="B181" s="122">
        <v>4924.1123965174447</v>
      </c>
      <c r="C181" s="122">
        <v>5750.8861807300109</v>
      </c>
      <c r="D181" s="122">
        <v>8330.1064081688819</v>
      </c>
      <c r="E181" s="122">
        <v>8034.6736094819462</v>
      </c>
      <c r="F181" s="122">
        <v>5458.8136036931191</v>
      </c>
      <c r="G181" s="122">
        <v>7784.1230913158379</v>
      </c>
      <c r="H181" s="122">
        <v>5387.7529050717148</v>
      </c>
      <c r="I181" s="122">
        <v>7343.4775086544232</v>
      </c>
      <c r="J181" s="122">
        <v>7646.2399020925659</v>
      </c>
      <c r="K181" s="122">
        <v>10605.58889528213</v>
      </c>
      <c r="L181" s="122">
        <v>16265.088276148541</v>
      </c>
    </row>
    <row r="182" spans="1:12">
      <c r="A182" s="124">
        <v>6.0321168650309165</v>
      </c>
      <c r="B182" s="122">
        <v>4924.1123965174447</v>
      </c>
      <c r="C182" s="122">
        <v>4369.9487087417419</v>
      </c>
      <c r="D182" s="122">
        <v>6821.3225183981558</v>
      </c>
      <c r="E182" s="122">
        <v>8339.0993274839093</v>
      </c>
      <c r="F182" s="122">
        <v>8004.2700527494198</v>
      </c>
      <c r="G182" s="122">
        <v>3770.997479075615</v>
      </c>
      <c r="H182" s="122">
        <v>5220.5811451524078</v>
      </c>
      <c r="I182" s="122">
        <v>2441.7055671871512</v>
      </c>
      <c r="J182" s="122">
        <v>4079.1854413337896</v>
      </c>
      <c r="K182" s="122">
        <v>-892.72958863642816</v>
      </c>
      <c r="L182" s="122">
        <v>-1318.4808747303059</v>
      </c>
    </row>
    <row r="183" spans="1:12">
      <c r="A183" s="124">
        <v>107.26739500284675</v>
      </c>
      <c r="B183" s="122">
        <v>4924.1123965174447</v>
      </c>
      <c r="C183" s="122">
        <v>7797.7032181233208</v>
      </c>
      <c r="D183" s="122">
        <v>13239.803371828795</v>
      </c>
      <c r="E183" s="122">
        <v>3259.7431464791625</v>
      </c>
      <c r="F183" s="122">
        <v>10866.577868121394</v>
      </c>
      <c r="G183" s="122">
        <v>10767.082112980008</v>
      </c>
      <c r="H183" s="122">
        <v>15665.713504687967</v>
      </c>
      <c r="I183" s="122">
        <v>19132.812147351357</v>
      </c>
      <c r="J183" s="122">
        <v>24076.724633838548</v>
      </c>
      <c r="K183" s="122">
        <v>33136.921844808625</v>
      </c>
      <c r="L183" s="122">
        <v>24994.572737836279</v>
      </c>
    </row>
    <row r="184" spans="1:12">
      <c r="A184" s="124">
        <v>66.009505259654105</v>
      </c>
      <c r="B184" s="122">
        <v>4924.1123965174447</v>
      </c>
      <c r="C184" s="122">
        <v>2900.8771397394776</v>
      </c>
      <c r="D184" s="122">
        <v>893.90834590632949</v>
      </c>
      <c r="E184" s="122">
        <v>3014.9699323929417</v>
      </c>
      <c r="F184" s="122">
        <v>4396.568319299613</v>
      </c>
      <c r="G184" s="122">
        <v>4420.5977475768996</v>
      </c>
      <c r="H184" s="122">
        <v>7169.6260238535833</v>
      </c>
      <c r="I184" s="122">
        <v>9289.6906742271094</v>
      </c>
      <c r="J184" s="122">
        <v>14448.768082782288</v>
      </c>
      <c r="K184" s="122">
        <v>9357.8494876072491</v>
      </c>
      <c r="L184" s="122">
        <v>20778.943287540082</v>
      </c>
    </row>
    <row r="185" spans="1:12">
      <c r="A185" s="124">
        <v>746.876960202026</v>
      </c>
      <c r="B185" s="122">
        <v>4924.1123965174447</v>
      </c>
      <c r="C185" s="122">
        <v>12529.996365448722</v>
      </c>
      <c r="D185" s="122">
        <v>22447.571600526986</v>
      </c>
      <c r="E185" s="122">
        <v>27044.42741615804</v>
      </c>
      <c r="F185" s="122">
        <v>29098.622446875415</v>
      </c>
      <c r="G185" s="122">
        <v>39208.253790453535</v>
      </c>
      <c r="H185" s="122">
        <v>52815.752928076981</v>
      </c>
      <c r="I185" s="122">
        <v>62461.902025331336</v>
      </c>
      <c r="J185" s="122">
        <v>92078.861480486245</v>
      </c>
      <c r="K185" s="122">
        <v>139267.83252134445</v>
      </c>
      <c r="L185" s="122">
        <v>222023.69848617265</v>
      </c>
    </row>
    <row r="186" spans="1:12">
      <c r="A186" s="124">
        <v>6.6016825175364477</v>
      </c>
      <c r="B186" s="122">
        <v>4924.1123965174447</v>
      </c>
      <c r="C186" s="122">
        <v>3624.9323144714081</v>
      </c>
      <c r="D186" s="122">
        <v>5107.8955358497515</v>
      </c>
      <c r="E186" s="122">
        <v>10307.047589192927</v>
      </c>
      <c r="F186" s="122">
        <v>4279.1805076205346</v>
      </c>
      <c r="G186" s="122">
        <v>6543.5884137894645</v>
      </c>
      <c r="H186" s="122">
        <v>5373.2412663171017</v>
      </c>
      <c r="I186" s="122">
        <v>3769.7004729650944</v>
      </c>
      <c r="J186" s="122">
        <v>3524.4048421300477</v>
      </c>
      <c r="K186" s="122">
        <v>-591.41828369692666</v>
      </c>
      <c r="L186" s="122">
        <v>-916.42066239340784</v>
      </c>
    </row>
    <row r="187" spans="1:12">
      <c r="A187" s="124">
        <v>6.3040792066002034</v>
      </c>
      <c r="B187" s="122">
        <v>4924.1123965174447</v>
      </c>
      <c r="C187" s="122">
        <v>5400.8699306902672</v>
      </c>
      <c r="D187" s="122">
        <v>5113.0560416828885</v>
      </c>
      <c r="E187" s="122">
        <v>4618.1229622051742</v>
      </c>
      <c r="F187" s="122">
        <v>-1637.6222533540031</v>
      </c>
      <c r="G187" s="122">
        <v>780.1919561390996</v>
      </c>
      <c r="H187" s="122">
        <v>2916.9673984265319</v>
      </c>
      <c r="I187" s="122">
        <v>2144.0648593565647</v>
      </c>
      <c r="J187" s="122">
        <v>75.347932740360193</v>
      </c>
      <c r="K187" s="122">
        <v>1446.9870167965928</v>
      </c>
      <c r="L187" s="122">
        <v>2094.2215857767778</v>
      </c>
    </row>
    <row r="188" spans="1:12">
      <c r="A188" s="124">
        <v>45.2151746081677</v>
      </c>
      <c r="B188" s="122">
        <v>4924.1123965174447</v>
      </c>
      <c r="C188" s="122">
        <v>3251.0764866657319</v>
      </c>
      <c r="D188" s="122">
        <v>2759.6547992001424</v>
      </c>
      <c r="E188" s="122">
        <v>4538.0813185312018</v>
      </c>
      <c r="F188" s="122">
        <v>4299.5855305975238</v>
      </c>
      <c r="G188" s="122">
        <v>4783.6161658404744</v>
      </c>
      <c r="H188" s="122">
        <v>8555.2625557506726</v>
      </c>
      <c r="I188" s="122">
        <v>5928.4721781477801</v>
      </c>
      <c r="J188" s="122">
        <v>10799.640795556104</v>
      </c>
      <c r="K188" s="122">
        <v>15109.055919179023</v>
      </c>
      <c r="L188" s="122">
        <v>12297.308654207773</v>
      </c>
    </row>
    <row r="189" spans="1:12">
      <c r="A189" s="124">
        <v>161.07312231476379</v>
      </c>
      <c r="B189" s="122">
        <v>4924.1123965174447</v>
      </c>
      <c r="C189" s="122">
        <v>9199.1580866731147</v>
      </c>
      <c r="D189" s="122">
        <v>11188.309471198272</v>
      </c>
      <c r="E189" s="122">
        <v>15145.403369042098</v>
      </c>
      <c r="F189" s="122">
        <v>7013.3038057814319</v>
      </c>
      <c r="G189" s="122">
        <v>16009.645261911748</v>
      </c>
      <c r="H189" s="122">
        <v>23107.398176612885</v>
      </c>
      <c r="I189" s="122">
        <v>25217.792475543181</v>
      </c>
      <c r="J189" s="122">
        <v>25336.488596492803</v>
      </c>
      <c r="K189" s="122">
        <v>31399.761852544703</v>
      </c>
      <c r="L189" s="122">
        <v>41291.437584641964</v>
      </c>
    </row>
    <row r="190" spans="1:12">
      <c r="A190" s="124">
        <v>177.40818646191676</v>
      </c>
      <c r="B190" s="122">
        <v>4924.1123965174447</v>
      </c>
      <c r="C190" s="122">
        <v>11185.925967182211</v>
      </c>
      <c r="D190" s="122">
        <v>8241.2067696570521</v>
      </c>
      <c r="E190" s="122">
        <v>8646.5758958683564</v>
      </c>
      <c r="F190" s="122">
        <v>8793.3432390428461</v>
      </c>
      <c r="G190" s="122">
        <v>10916.268711107045</v>
      </c>
      <c r="H190" s="122">
        <v>21765.768031914424</v>
      </c>
      <c r="I190" s="122">
        <v>25097.457026364078</v>
      </c>
      <c r="J190" s="122">
        <v>30106.77671160474</v>
      </c>
      <c r="K190" s="122">
        <v>42350.878219548664</v>
      </c>
      <c r="L190" s="122">
        <v>47738.401111783387</v>
      </c>
    </row>
    <row r="191" spans="1:12">
      <c r="A191" s="124">
        <v>171.85597135635649</v>
      </c>
      <c r="B191" s="122">
        <v>4924.1123965174447</v>
      </c>
      <c r="C191" s="122">
        <v>8090.1888834407218</v>
      </c>
      <c r="D191" s="122">
        <v>13973.030197939977</v>
      </c>
      <c r="E191" s="122">
        <v>12779.831543928536</v>
      </c>
      <c r="F191" s="122">
        <v>16765.978279438652</v>
      </c>
      <c r="G191" s="122">
        <v>26753.306327324131</v>
      </c>
      <c r="H191" s="122">
        <v>21986.231660372323</v>
      </c>
      <c r="I191" s="122">
        <v>27459.496955896859</v>
      </c>
      <c r="J191" s="122">
        <v>37651.602311265393</v>
      </c>
      <c r="K191" s="122">
        <v>39037.698722508583</v>
      </c>
      <c r="L191" s="122">
        <v>40057.906591307154</v>
      </c>
    </row>
    <row r="192" spans="1:12">
      <c r="A192" s="124">
        <v>26.660142934485791</v>
      </c>
      <c r="B192" s="122">
        <v>4924.1123965174447</v>
      </c>
      <c r="C192" s="122">
        <v>3826.6744917589094</v>
      </c>
      <c r="D192" s="122">
        <v>662.75057144631501</v>
      </c>
      <c r="E192" s="122">
        <v>1736.1088583450537</v>
      </c>
      <c r="F192" s="122">
        <v>5706.2959301254396</v>
      </c>
      <c r="G192" s="122">
        <v>5303.5030432515632</v>
      </c>
      <c r="H192" s="122">
        <v>8172.04412361303</v>
      </c>
      <c r="I192" s="122">
        <v>2524.2871665855509</v>
      </c>
      <c r="J192" s="122">
        <v>3811.6274989908106</v>
      </c>
      <c r="K192" s="122">
        <v>4761.8708337905227</v>
      </c>
      <c r="L192" s="122">
        <v>8096.6564619903511</v>
      </c>
    </row>
    <row r="193" spans="1:12">
      <c r="A193" s="124">
        <v>2.5694332688353758</v>
      </c>
      <c r="B193" s="122">
        <v>4924.1123965174447</v>
      </c>
      <c r="C193" s="122">
        <v>3598.4949312303497</v>
      </c>
      <c r="D193" s="122">
        <v>2759.2410414917213</v>
      </c>
      <c r="E193" s="122">
        <v>4500.5888661426361</v>
      </c>
      <c r="F193" s="122">
        <v>623.43171744753636</v>
      </c>
      <c r="G193" s="122">
        <v>2279.5046008254894</v>
      </c>
      <c r="H193" s="122">
        <v>5453.1428739072999</v>
      </c>
      <c r="I193" s="122">
        <v>2396.4503268041835</v>
      </c>
      <c r="J193" s="122">
        <v>2684.07291276248</v>
      </c>
      <c r="K193" s="122">
        <v>1494.9173078253043</v>
      </c>
      <c r="L193" s="122">
        <v>318.54038483070781</v>
      </c>
    </row>
    <row r="194" spans="1:12">
      <c r="A194" s="124">
        <v>22.130952314582174</v>
      </c>
      <c r="B194" s="122">
        <v>4924.1123965174447</v>
      </c>
      <c r="C194" s="122">
        <v>5796.6580598268829</v>
      </c>
      <c r="D194" s="122">
        <v>5654.2410838045926</v>
      </c>
      <c r="E194" s="122">
        <v>3331.7184610311733</v>
      </c>
      <c r="F194" s="122">
        <v>2637.19980752215</v>
      </c>
      <c r="G194" s="122">
        <v>5330.2814052478152</v>
      </c>
      <c r="H194" s="122">
        <v>2661.208369761237</v>
      </c>
      <c r="I194" s="122">
        <v>6538.245390019636</v>
      </c>
      <c r="J194" s="122">
        <v>4870.2592068621161</v>
      </c>
      <c r="K194" s="122">
        <v>4125.3198028009901</v>
      </c>
      <c r="L194" s="122">
        <v>5408.9042774792742</v>
      </c>
    </row>
    <row r="195" spans="1:12">
      <c r="A195" s="124">
        <v>189.27819990085627</v>
      </c>
      <c r="B195" s="122">
        <v>4924.1123965174447</v>
      </c>
      <c r="C195" s="122">
        <v>8207.9788170862412</v>
      </c>
      <c r="D195" s="122">
        <v>9050.6701602373905</v>
      </c>
      <c r="E195" s="122">
        <v>9414.0437930528697</v>
      </c>
      <c r="F195" s="122">
        <v>12568.20363512927</v>
      </c>
      <c r="G195" s="122">
        <v>18711.04802443345</v>
      </c>
      <c r="H195" s="122">
        <v>24608.206760268829</v>
      </c>
      <c r="I195" s="122">
        <v>30996.419002217495</v>
      </c>
      <c r="J195" s="122">
        <v>45520.327856118514</v>
      </c>
      <c r="K195" s="122">
        <v>41545.325324515194</v>
      </c>
      <c r="L195" s="122">
        <v>48070.273537713321</v>
      </c>
    </row>
    <row r="196" spans="1:12">
      <c r="A196" s="124">
        <v>172.40999617069363</v>
      </c>
      <c r="B196" s="122">
        <v>4924.1123965174447</v>
      </c>
      <c r="C196" s="122">
        <v>5133.9432466309299</v>
      </c>
      <c r="D196" s="122">
        <v>5973.2261142702864</v>
      </c>
      <c r="E196" s="122">
        <v>10816.477652718024</v>
      </c>
      <c r="F196" s="122">
        <v>9575.9095961212952</v>
      </c>
      <c r="G196" s="122">
        <v>10649.461785570995</v>
      </c>
      <c r="H196" s="122">
        <v>10017.041835946828</v>
      </c>
      <c r="I196" s="122">
        <v>13139.668023367474</v>
      </c>
      <c r="J196" s="122">
        <v>16891.679626997648</v>
      </c>
      <c r="K196" s="122">
        <v>36554.425502410159</v>
      </c>
      <c r="L196" s="122">
        <v>52179.203323205125</v>
      </c>
    </row>
    <row r="197" spans="1:12">
      <c r="A197" s="124">
        <v>49.924776456069345</v>
      </c>
      <c r="B197" s="122">
        <v>4924.1123965174447</v>
      </c>
      <c r="C197" s="122">
        <v>5203.3202417229113</v>
      </c>
      <c r="D197" s="122">
        <v>5433.3948992234582</v>
      </c>
      <c r="E197" s="122">
        <v>13740.746012374253</v>
      </c>
      <c r="F197" s="122">
        <v>14501.446437226205</v>
      </c>
      <c r="G197" s="122">
        <v>5651.2689848225509</v>
      </c>
      <c r="H197" s="122">
        <v>8268.9172868040296</v>
      </c>
      <c r="I197" s="122">
        <v>11800.935749915643</v>
      </c>
      <c r="J197" s="122">
        <v>11434.884002313403</v>
      </c>
      <c r="K197" s="122">
        <v>11139.421498566793</v>
      </c>
      <c r="L197" s="122">
        <v>9375.0627900123982</v>
      </c>
    </row>
    <row r="198" spans="1:12">
      <c r="A198" s="124">
        <v>104.70903987669971</v>
      </c>
      <c r="B198" s="122">
        <v>4924.1123965174447</v>
      </c>
      <c r="C198" s="122">
        <v>3403.2480865961716</v>
      </c>
      <c r="D198" s="122">
        <v>745.98947388406486</v>
      </c>
      <c r="E198" s="122">
        <v>2204.824757102595</v>
      </c>
      <c r="F198" s="122">
        <v>4223.7200515260884</v>
      </c>
      <c r="G198" s="122">
        <v>8078.4358877472878</v>
      </c>
      <c r="H198" s="122">
        <v>6958.4303872207965</v>
      </c>
      <c r="I198" s="122">
        <v>11824.865761404097</v>
      </c>
      <c r="J198" s="122">
        <v>19761.463763717296</v>
      </c>
      <c r="K198" s="122">
        <v>26116.71291873623</v>
      </c>
      <c r="L198" s="122">
        <v>32283.823931794846</v>
      </c>
    </row>
    <row r="199" spans="1:12">
      <c r="A199" s="124">
        <v>41.638070694014914</v>
      </c>
      <c r="B199" s="122">
        <v>4924.1123965174447</v>
      </c>
      <c r="C199" s="122">
        <v>51.176623930463393</v>
      </c>
      <c r="D199" s="122">
        <v>1514.325197058397</v>
      </c>
      <c r="E199" s="122">
        <v>2032.5271287884616</v>
      </c>
      <c r="F199" s="122">
        <v>4100.2291315637576</v>
      </c>
      <c r="G199" s="122">
        <v>8376.8158943454619</v>
      </c>
      <c r="H199" s="122">
        <v>10048.668759564918</v>
      </c>
      <c r="I199" s="122">
        <v>8673.6250900638315</v>
      </c>
      <c r="J199" s="122">
        <v>9701.6642383708095</v>
      </c>
      <c r="K199" s="122">
        <v>8519.6463695392758</v>
      </c>
      <c r="L199" s="122">
        <v>12085.538202966647</v>
      </c>
    </row>
    <row r="200" spans="1:12">
      <c r="A200" s="124">
        <v>119.9302158285676</v>
      </c>
      <c r="B200" s="122">
        <v>4924.1123965174447</v>
      </c>
      <c r="C200" s="122">
        <v>2634.4238875832289</v>
      </c>
      <c r="D200" s="122">
        <v>4706.5998997448842</v>
      </c>
      <c r="E200" s="122">
        <v>7165.4961311141324</v>
      </c>
      <c r="F200" s="122">
        <v>10463.379550429268</v>
      </c>
      <c r="G200" s="122">
        <v>11576.646387104245</v>
      </c>
      <c r="H200" s="122">
        <v>17390.801872728462</v>
      </c>
      <c r="I200" s="122">
        <v>14819.634098761435</v>
      </c>
      <c r="J200" s="122">
        <v>15313.224829947852</v>
      </c>
      <c r="K200" s="122">
        <v>24514.469406733017</v>
      </c>
      <c r="L200" s="122">
        <v>33877.466355717603</v>
      </c>
    </row>
    <row r="201" spans="1:12">
      <c r="A201" s="124">
        <v>355.78766799244528</v>
      </c>
      <c r="B201" s="122">
        <v>4924.1123965174447</v>
      </c>
      <c r="C201" s="122">
        <v>11245.52534320421</v>
      </c>
      <c r="D201" s="122">
        <v>16226.978012830004</v>
      </c>
      <c r="E201" s="122">
        <v>19003.951807256723</v>
      </c>
      <c r="F201" s="122">
        <v>18827.080547810641</v>
      </c>
      <c r="G201" s="122">
        <v>24823.751240159207</v>
      </c>
      <c r="H201" s="122">
        <v>33624.445629974107</v>
      </c>
      <c r="I201" s="122">
        <v>60498.066838923914</v>
      </c>
      <c r="J201" s="122">
        <v>70620.157660147175</v>
      </c>
      <c r="K201" s="122">
        <v>66757.118392425851</v>
      </c>
      <c r="L201" s="122">
        <v>94698.365162441332</v>
      </c>
    </row>
    <row r="202" spans="1:12">
      <c r="A202" s="124">
        <v>114.47647153302792</v>
      </c>
      <c r="B202" s="122">
        <v>4924.1123965174447</v>
      </c>
      <c r="C202" s="122">
        <v>7272.3110194756373</v>
      </c>
      <c r="D202" s="122">
        <v>12411.075400015947</v>
      </c>
      <c r="E202" s="122">
        <v>13753.082717515896</v>
      </c>
      <c r="F202" s="122">
        <v>12979.140664568669</v>
      </c>
      <c r="G202" s="122">
        <v>21795.140271826545</v>
      </c>
      <c r="H202" s="122">
        <v>17451.188403704658</v>
      </c>
      <c r="I202" s="122">
        <v>18555.02278979676</v>
      </c>
      <c r="J202" s="122">
        <v>18904.775206259408</v>
      </c>
      <c r="K202" s="122">
        <v>19780.533176227018</v>
      </c>
      <c r="L202" s="122">
        <v>25890.361770730731</v>
      </c>
    </row>
    <row r="203" spans="1:12">
      <c r="A203" s="124">
        <v>52.506282153961344</v>
      </c>
      <c r="B203" s="122">
        <v>4924.1123965174447</v>
      </c>
      <c r="C203" s="122">
        <v>3692.8547741850089</v>
      </c>
      <c r="D203" s="122">
        <v>3203.886923752957</v>
      </c>
      <c r="E203" s="122">
        <v>2033.4730492540493</v>
      </c>
      <c r="F203" s="122">
        <v>2139.427854206755</v>
      </c>
      <c r="G203" s="122">
        <v>3556.9414917474905</v>
      </c>
      <c r="H203" s="122">
        <v>6140.1041624114459</v>
      </c>
      <c r="I203" s="122">
        <v>9612.779292625748</v>
      </c>
      <c r="J203" s="122">
        <v>9967.2348622174777</v>
      </c>
      <c r="K203" s="122">
        <v>14893.498561649252</v>
      </c>
      <c r="L203" s="122">
        <v>15805.384626818963</v>
      </c>
    </row>
    <row r="204" spans="1:12">
      <c r="A204" s="124">
        <v>52.537150307185883</v>
      </c>
      <c r="B204" s="122">
        <v>4924.1123965174447</v>
      </c>
      <c r="C204" s="122">
        <v>5301.8577827972495</v>
      </c>
      <c r="D204" s="122">
        <v>2740.1563908514072</v>
      </c>
      <c r="E204" s="122">
        <v>1940.5038483516319</v>
      </c>
      <c r="F204" s="122">
        <v>4247.9268102426231</v>
      </c>
      <c r="G204" s="122">
        <v>6068.6481124301645</v>
      </c>
      <c r="H204" s="122">
        <v>9681.2504598458054</v>
      </c>
      <c r="I204" s="122">
        <v>13964.441515336148</v>
      </c>
      <c r="J204" s="122">
        <v>15278.674402980672</v>
      </c>
      <c r="K204" s="122">
        <v>14793.35453598385</v>
      </c>
      <c r="L204" s="122">
        <v>13299.43732811567</v>
      </c>
    </row>
    <row r="205" spans="1:12">
      <c r="A205" s="124">
        <v>66.483671917272346</v>
      </c>
      <c r="B205" s="122">
        <v>4924.1123965174447</v>
      </c>
      <c r="C205" s="122">
        <v>3171.8259423042173</v>
      </c>
      <c r="D205" s="122">
        <v>4507.618038291208</v>
      </c>
      <c r="E205" s="122">
        <v>5272.886154376798</v>
      </c>
      <c r="F205" s="122">
        <v>2262.9130933782217</v>
      </c>
      <c r="G205" s="122">
        <v>2772.8648618223197</v>
      </c>
      <c r="H205" s="122">
        <v>5444.3899074662349</v>
      </c>
      <c r="I205" s="122">
        <v>19097.019622773063</v>
      </c>
      <c r="J205" s="122">
        <v>12447.35629096358</v>
      </c>
      <c r="K205" s="122">
        <v>14364.362286140487</v>
      </c>
      <c r="L205" s="122">
        <v>19141.468045667811</v>
      </c>
    </row>
    <row r="206" spans="1:12">
      <c r="A206" s="124">
        <v>65.604373655967862</v>
      </c>
      <c r="B206" s="122">
        <v>4924.1123965174447</v>
      </c>
      <c r="C206" s="122">
        <v>5918.0548498800927</v>
      </c>
      <c r="D206" s="122">
        <v>5334.9422689452131</v>
      </c>
      <c r="E206" s="122">
        <v>2555.7711738904445</v>
      </c>
      <c r="F206" s="122">
        <v>4029.7637715826349</v>
      </c>
      <c r="G206" s="122">
        <v>6397.132338118452</v>
      </c>
      <c r="H206" s="122">
        <v>4924.1931904903486</v>
      </c>
      <c r="I206" s="122">
        <v>7756.5025258743408</v>
      </c>
      <c r="J206" s="122">
        <v>12909.333525379032</v>
      </c>
      <c r="K206" s="122">
        <v>15866.31052984186</v>
      </c>
      <c r="L206" s="122">
        <v>18969.009092826411</v>
      </c>
    </row>
    <row r="207" spans="1:12">
      <c r="A207" s="124">
        <v>34.511312317656909</v>
      </c>
      <c r="B207" s="122">
        <v>4924.1123965174447</v>
      </c>
      <c r="C207" s="122">
        <v>2842.357389269524</v>
      </c>
      <c r="D207" s="122">
        <v>2715.131879664701</v>
      </c>
      <c r="E207" s="122">
        <v>3053.8243373211626</v>
      </c>
      <c r="F207" s="122">
        <v>2546.6634247217071</v>
      </c>
      <c r="G207" s="122">
        <v>3711.0656892782154</v>
      </c>
      <c r="H207" s="122">
        <v>7606.8649628932835</v>
      </c>
      <c r="I207" s="122">
        <v>13723.747264511232</v>
      </c>
      <c r="J207" s="122">
        <v>13177.247832865913</v>
      </c>
      <c r="K207" s="122">
        <v>10110.907056863927</v>
      </c>
      <c r="L207" s="122">
        <v>8510.262238835483</v>
      </c>
    </row>
    <row r="208" spans="1:12">
      <c r="A208" s="124">
        <v>11.08401787322923</v>
      </c>
      <c r="B208" s="122">
        <v>4924.1123965174447</v>
      </c>
      <c r="C208" s="122">
        <v>454.26684187280262</v>
      </c>
      <c r="D208" s="122">
        <v>852.7934101533865</v>
      </c>
      <c r="E208" s="122">
        <v>1774.1576409012905</v>
      </c>
      <c r="F208" s="122">
        <v>1162.6125273311072</v>
      </c>
      <c r="G208" s="122">
        <v>2257.3361786806709</v>
      </c>
      <c r="H208" s="122">
        <v>2141.4103502851649</v>
      </c>
      <c r="I208" s="122">
        <v>2101.3366063162212</v>
      </c>
      <c r="J208" s="122">
        <v>2875.586773518904</v>
      </c>
      <c r="K208" s="122">
        <v>2367.5388730656086</v>
      </c>
      <c r="L208" s="122">
        <v>5318.9975932844245</v>
      </c>
    </row>
    <row r="209" spans="1:12">
      <c r="A209" s="124">
        <v>173.12041347982273</v>
      </c>
      <c r="B209" s="122">
        <v>4924.1123965174447</v>
      </c>
      <c r="C209" s="122">
        <v>10410.153736396987</v>
      </c>
      <c r="D209" s="122">
        <v>11209.787316397405</v>
      </c>
      <c r="E209" s="122">
        <v>11836.926074077541</v>
      </c>
      <c r="F209" s="122">
        <v>12575.82360682173</v>
      </c>
      <c r="G209" s="122">
        <v>19409.325686811782</v>
      </c>
      <c r="H209" s="122">
        <v>23346.415543512609</v>
      </c>
      <c r="I209" s="122">
        <v>29932.812598441822</v>
      </c>
      <c r="J209" s="122">
        <v>30518.832586944714</v>
      </c>
      <c r="K209" s="122">
        <v>40430.046428107533</v>
      </c>
      <c r="L209" s="122">
        <v>42654.573522275583</v>
      </c>
    </row>
    <row r="210" spans="1:12">
      <c r="A210" s="124">
        <v>235.42250741496699</v>
      </c>
      <c r="B210" s="122">
        <v>4924.1123965174447</v>
      </c>
      <c r="C210" s="122">
        <v>4229.9645452511431</v>
      </c>
      <c r="D210" s="122">
        <v>5177.9123403986014</v>
      </c>
      <c r="E210" s="122">
        <v>13444.734116911983</v>
      </c>
      <c r="F210" s="122">
        <v>11005.729524308432</v>
      </c>
      <c r="G210" s="122">
        <v>8521.0932597161009</v>
      </c>
      <c r="H210" s="122">
        <v>18852.076021461457</v>
      </c>
      <c r="I210" s="122">
        <v>29762.010457042612</v>
      </c>
      <c r="J210" s="122">
        <v>48263.695962117243</v>
      </c>
      <c r="K210" s="122">
        <v>59962.426638993056</v>
      </c>
      <c r="L210" s="122">
        <v>66752.945745320205</v>
      </c>
    </row>
    <row r="211" spans="1:12">
      <c r="A211" s="124">
        <v>154.09375527944411</v>
      </c>
      <c r="B211" s="122">
        <v>4924.1123965174447</v>
      </c>
      <c r="C211" s="122">
        <v>9851.3740496805003</v>
      </c>
      <c r="D211" s="122">
        <v>16334.553381985228</v>
      </c>
      <c r="E211" s="122">
        <v>25114.441969168882</v>
      </c>
      <c r="F211" s="122">
        <v>21564.053249192159</v>
      </c>
      <c r="G211" s="122">
        <v>23051.831917934607</v>
      </c>
      <c r="H211" s="122">
        <v>18176.960755519118</v>
      </c>
      <c r="I211" s="122">
        <v>15610.994183584829</v>
      </c>
      <c r="J211" s="122">
        <v>25416.653448421679</v>
      </c>
      <c r="K211" s="122">
        <v>33588.060272501258</v>
      </c>
      <c r="L211" s="122">
        <v>33986.583110891253</v>
      </c>
    </row>
    <row r="212" spans="1:12">
      <c r="A212" s="124">
        <v>99.882492317949669</v>
      </c>
      <c r="B212" s="122">
        <v>4924.1123965174447</v>
      </c>
      <c r="C212" s="122">
        <v>12878.670264244483</v>
      </c>
      <c r="D212" s="122">
        <v>14793.678003389843</v>
      </c>
      <c r="E212" s="122">
        <v>9431.860153611733</v>
      </c>
      <c r="F212" s="122">
        <v>9775.6823466818823</v>
      </c>
      <c r="G212" s="122">
        <v>13792.019578235573</v>
      </c>
      <c r="H212" s="122">
        <v>6371.9967471126947</v>
      </c>
      <c r="I212" s="122">
        <v>8442.5083544268036</v>
      </c>
      <c r="J212" s="122">
        <v>11709.138748025116</v>
      </c>
      <c r="K212" s="122">
        <v>17374.036103629835</v>
      </c>
      <c r="L212" s="122">
        <v>24944.761785624294</v>
      </c>
    </row>
    <row r="213" spans="1:12">
      <c r="A213" s="124">
        <v>167.03012036542682</v>
      </c>
      <c r="B213" s="122">
        <v>4924.1123965174447</v>
      </c>
      <c r="C213" s="122">
        <v>10324.805035132245</v>
      </c>
      <c r="D213" s="122">
        <v>10820.392757561716</v>
      </c>
      <c r="E213" s="122">
        <v>11945.146464576632</v>
      </c>
      <c r="F213" s="122">
        <v>8339.6969013447815</v>
      </c>
      <c r="G213" s="122">
        <v>13671.017752836171</v>
      </c>
      <c r="H213" s="122">
        <v>17929.192063572027</v>
      </c>
      <c r="I213" s="122">
        <v>25935.034729366722</v>
      </c>
      <c r="J213" s="122">
        <v>29917.765322008861</v>
      </c>
      <c r="K213" s="122">
        <v>30535.723070933105</v>
      </c>
      <c r="L213" s="122">
        <v>44232.418486885275</v>
      </c>
    </row>
    <row r="214" spans="1:12">
      <c r="A214" s="124">
        <v>-5.9956024155046883</v>
      </c>
      <c r="B214" s="122">
        <v>4924.1123965174447</v>
      </c>
      <c r="C214" s="122">
        <v>1284.9510437093159</v>
      </c>
      <c r="D214" s="122">
        <v>3079.9381860313142</v>
      </c>
      <c r="E214" s="122">
        <v>-596.74293307853213</v>
      </c>
      <c r="F214" s="122">
        <v>-1065.9546111249365</v>
      </c>
      <c r="G214" s="122">
        <v>174.66592260805828</v>
      </c>
      <c r="H214" s="122">
        <v>-303.01815560287559</v>
      </c>
      <c r="I214" s="122">
        <v>-69.590987591120211</v>
      </c>
      <c r="J214" s="122">
        <v>2852.7035153225816</v>
      </c>
      <c r="K214" s="122">
        <v>1059.8887920832785</v>
      </c>
      <c r="L214" s="122">
        <v>118.48242546713209</v>
      </c>
    </row>
    <row r="215" spans="1:12">
      <c r="A215" s="124">
        <v>-25.99955934952386</v>
      </c>
      <c r="B215" s="122">
        <v>4924.1123965174447</v>
      </c>
      <c r="C215" s="122">
        <v>481.9428380572499</v>
      </c>
      <c r="D215" s="122">
        <v>-761.16636103489782</v>
      </c>
      <c r="E215" s="122">
        <v>-1568.2094305603659</v>
      </c>
      <c r="F215" s="122">
        <v>-1767.1105120124821</v>
      </c>
      <c r="G215" s="122">
        <v>-2870.4255377994459</v>
      </c>
      <c r="H215" s="122">
        <v>-3336.6584459900332</v>
      </c>
      <c r="I215" s="122">
        <v>-3591.7029040850575</v>
      </c>
      <c r="J215" s="122">
        <v>-4078.5553467296786</v>
      </c>
      <c r="K215" s="122">
        <v>-3987.271719970825</v>
      </c>
      <c r="L215" s="122">
        <v>-3621.2193736964236</v>
      </c>
    </row>
    <row r="216" spans="1:12">
      <c r="A216" s="124">
        <v>-2.1962096203330597</v>
      </c>
      <c r="B216" s="122">
        <v>4924.1123965174447</v>
      </c>
      <c r="C216" s="122">
        <v>2391.3757141190181</v>
      </c>
      <c r="D216" s="122">
        <v>1296.4802956559679</v>
      </c>
      <c r="E216" s="122">
        <v>1956.5112992686081</v>
      </c>
      <c r="F216" s="122">
        <v>2411.0659764085467</v>
      </c>
      <c r="G216" s="122">
        <v>3592.2078488908764</v>
      </c>
      <c r="H216" s="122">
        <v>3410.6886845686213</v>
      </c>
      <c r="I216" s="122">
        <v>787.70746412153676</v>
      </c>
      <c r="J216" s="122">
        <v>4798.5985425453073</v>
      </c>
      <c r="K216" s="122">
        <v>2047.9086692005394</v>
      </c>
      <c r="L216" s="122">
        <v>-772.41464804595944</v>
      </c>
    </row>
    <row r="217" spans="1:12">
      <c r="A217" s="124">
        <v>67.899255189066636</v>
      </c>
      <c r="B217" s="122">
        <v>4924.1123965174447</v>
      </c>
      <c r="C217" s="122">
        <v>5857.2713475710079</v>
      </c>
      <c r="D217" s="122">
        <v>7273.4482500177037</v>
      </c>
      <c r="E217" s="122">
        <v>11304.857656585673</v>
      </c>
      <c r="F217" s="122">
        <v>10109.222113858421</v>
      </c>
      <c r="G217" s="122">
        <v>8516.5482535641549</v>
      </c>
      <c r="H217" s="122">
        <v>9019.1719825061682</v>
      </c>
      <c r="I217" s="122">
        <v>6712.1733482377804</v>
      </c>
      <c r="J217" s="122">
        <v>9255.1309724203766</v>
      </c>
      <c r="K217" s="122">
        <v>12578.605619004404</v>
      </c>
      <c r="L217" s="122">
        <v>16936.04322542316</v>
      </c>
    </row>
    <row r="218" spans="1:12">
      <c r="A218" s="124">
        <v>5.6491507433725792</v>
      </c>
      <c r="B218" s="122">
        <v>4924.1123965174447</v>
      </c>
      <c r="C218" s="122">
        <v>4437.435835619006</v>
      </c>
      <c r="D218" s="122">
        <v>189.22276054016857</v>
      </c>
      <c r="E218" s="122">
        <v>1521.3866549279774</v>
      </c>
      <c r="F218" s="122">
        <v>4516.8995184740506</v>
      </c>
      <c r="G218" s="122">
        <v>4430.7920537636201</v>
      </c>
      <c r="H218" s="122">
        <v>2164.3632146645896</v>
      </c>
      <c r="I218" s="122">
        <v>2821.7654737858065</v>
      </c>
      <c r="J218" s="122">
        <v>5148.7493719560807</v>
      </c>
      <c r="K218" s="122">
        <v>3810.3612565616149</v>
      </c>
      <c r="L218" s="122">
        <v>1261.778639992056</v>
      </c>
    </row>
    <row r="219" spans="1:12">
      <c r="A219" s="124">
        <v>141.33577202813279</v>
      </c>
      <c r="B219" s="122">
        <v>4924.1123965174447</v>
      </c>
      <c r="C219" s="122">
        <v>5748.3185820342296</v>
      </c>
      <c r="D219" s="122">
        <v>11146.925639902998</v>
      </c>
      <c r="E219" s="122">
        <v>9394.9763466864915</v>
      </c>
      <c r="F219" s="122">
        <v>13683.950090989063</v>
      </c>
      <c r="G219" s="122">
        <v>13845.626441854638</v>
      </c>
      <c r="H219" s="122">
        <v>12215.928723331173</v>
      </c>
      <c r="I219" s="122">
        <v>13830.159878490598</v>
      </c>
      <c r="J219" s="122">
        <v>17917.206663633318</v>
      </c>
      <c r="K219" s="122">
        <v>23463.592660394446</v>
      </c>
      <c r="L219" s="122">
        <v>39349.242419374103</v>
      </c>
    </row>
    <row r="220" spans="1:12">
      <c r="A220" s="124">
        <v>133.21677613109662</v>
      </c>
      <c r="B220" s="122">
        <v>4924.1123965174447</v>
      </c>
      <c r="C220" s="122">
        <v>4942.3387773298164</v>
      </c>
      <c r="D220" s="122">
        <v>3640.6761119064213</v>
      </c>
      <c r="E220" s="122">
        <v>5081.0500480789397</v>
      </c>
      <c r="F220" s="122">
        <v>10921.675232112682</v>
      </c>
      <c r="G220" s="122">
        <v>18186.834305385524</v>
      </c>
      <c r="H220" s="122">
        <v>23255.979479954851</v>
      </c>
      <c r="I220" s="122">
        <v>35145.225478148386</v>
      </c>
      <c r="J220" s="122">
        <v>36408.343261495036</v>
      </c>
      <c r="K220" s="122">
        <v>30678.840284210499</v>
      </c>
      <c r="L220" s="122">
        <v>31714.892599654828</v>
      </c>
    </row>
    <row r="221" spans="1:12">
      <c r="A221" s="124">
        <v>43.97678585363257</v>
      </c>
      <c r="B221" s="122">
        <v>4924.1123965174447</v>
      </c>
      <c r="C221" s="122">
        <v>5578.0166961110262</v>
      </c>
      <c r="D221" s="122">
        <v>6263.4018952862898</v>
      </c>
      <c r="E221" s="122">
        <v>6285.8932737422638</v>
      </c>
      <c r="F221" s="122">
        <v>4668.70162684155</v>
      </c>
      <c r="G221" s="122">
        <v>4456.748143236422</v>
      </c>
      <c r="H221" s="122">
        <v>9300.9560281009981</v>
      </c>
      <c r="I221" s="122">
        <v>8715.6412380029778</v>
      </c>
      <c r="J221" s="122">
        <v>15392.552013401513</v>
      </c>
      <c r="K221" s="122">
        <v>13589.193059363912</v>
      </c>
      <c r="L221" s="122">
        <v>9541.1878673667125</v>
      </c>
    </row>
    <row r="222" spans="1:12">
      <c r="A222" s="124">
        <v>131.35609459498735</v>
      </c>
      <c r="B222" s="122">
        <v>4924.1123965174447</v>
      </c>
      <c r="C222" s="122">
        <v>6695.652651449007</v>
      </c>
      <c r="D222" s="122">
        <v>12430.970810415849</v>
      </c>
      <c r="E222" s="122">
        <v>13662.296620747773</v>
      </c>
      <c r="F222" s="122">
        <v>18838.612810859977</v>
      </c>
      <c r="G222" s="122">
        <v>12902.11794273858</v>
      </c>
      <c r="H222" s="122">
        <v>20927.418592350859</v>
      </c>
      <c r="I222" s="122">
        <v>14952.851178207638</v>
      </c>
      <c r="J222" s="122">
        <v>9708.2641974065609</v>
      </c>
      <c r="K222" s="122">
        <v>14091.890519699627</v>
      </c>
      <c r="L222" s="122">
        <v>34256.940265556943</v>
      </c>
    </row>
    <row r="223" spans="1:12">
      <c r="A223" s="124">
        <v>15.187904775309075</v>
      </c>
      <c r="B223" s="122">
        <v>4924.1123965174447</v>
      </c>
      <c r="C223" s="122">
        <v>537.8944354231835</v>
      </c>
      <c r="D223" s="122">
        <v>219.41057898151666</v>
      </c>
      <c r="E223" s="122">
        <v>-964.75391652747385</v>
      </c>
      <c r="F223" s="122">
        <v>21.754686418161327</v>
      </c>
      <c r="G223" s="122">
        <v>89.309349526743972</v>
      </c>
      <c r="H223" s="122">
        <v>-570.69623751753761</v>
      </c>
      <c r="I223" s="122">
        <v>1627.0315905613534</v>
      </c>
      <c r="J223" s="122">
        <v>6443.7759636322771</v>
      </c>
      <c r="K223" s="122">
        <v>7317.957164736401</v>
      </c>
      <c r="L223" s="122">
        <v>7477.9580594262025</v>
      </c>
    </row>
    <row r="224" spans="1:12">
      <c r="A224" s="124">
        <v>110.07805732426898</v>
      </c>
      <c r="B224" s="122">
        <v>4924.1123965174447</v>
      </c>
      <c r="C224" s="122">
        <v>7581.1728071312991</v>
      </c>
      <c r="D224" s="122">
        <v>7148.6799175205542</v>
      </c>
      <c r="E224" s="122">
        <v>12815.474086449172</v>
      </c>
      <c r="F224" s="122">
        <v>9382.3675472313844</v>
      </c>
      <c r="G224" s="122">
        <v>12329.346290344725</v>
      </c>
      <c r="H224" s="122">
        <v>14713.632718484056</v>
      </c>
      <c r="I224" s="122">
        <v>8995.1208413167715</v>
      </c>
      <c r="J224" s="122">
        <v>18516.882177518699</v>
      </c>
      <c r="K224" s="122">
        <v>25437.575751129931</v>
      </c>
      <c r="L224" s="122">
        <v>28332.470529248683</v>
      </c>
    </row>
    <row r="225" spans="1:12">
      <c r="A225" s="124">
        <v>336.95595781940733</v>
      </c>
      <c r="B225" s="122">
        <v>4924.1123965174447</v>
      </c>
      <c r="C225" s="122">
        <v>13688.036077492441</v>
      </c>
      <c r="D225" s="122">
        <v>26814.219427194072</v>
      </c>
      <c r="E225" s="122">
        <v>30519.611887871026</v>
      </c>
      <c r="F225" s="122">
        <v>29316.689351115776</v>
      </c>
      <c r="G225" s="122">
        <v>31461.457656299564</v>
      </c>
      <c r="H225" s="122">
        <v>41606.606028853617</v>
      </c>
      <c r="I225" s="122">
        <v>54735.628824951978</v>
      </c>
      <c r="J225" s="122">
        <v>42489.27205973072</v>
      </c>
      <c r="K225" s="122">
        <v>56755.679885055644</v>
      </c>
      <c r="L225" s="122">
        <v>84090.252360594313</v>
      </c>
    </row>
    <row r="226" spans="1:12">
      <c r="A226" s="124">
        <v>35.412335510381418</v>
      </c>
      <c r="B226" s="122">
        <v>4924.1123965174447</v>
      </c>
      <c r="C226" s="122">
        <v>3498.4954755330018</v>
      </c>
      <c r="D226" s="122">
        <v>12950.697969155968</v>
      </c>
      <c r="E226" s="122">
        <v>13252.099034768806</v>
      </c>
      <c r="F226" s="122">
        <v>14808.714477506168</v>
      </c>
      <c r="G226" s="122">
        <v>8202.8740545220971</v>
      </c>
      <c r="H226" s="122">
        <v>10187.708473713576</v>
      </c>
      <c r="I226" s="122">
        <v>5622.288351006704</v>
      </c>
      <c r="J226" s="122">
        <v>6217.9970448281274</v>
      </c>
      <c r="K226" s="122">
        <v>3834.6022493688833</v>
      </c>
      <c r="L226" s="122">
        <v>4303.0481682842583</v>
      </c>
    </row>
    <row r="227" spans="1:12">
      <c r="A227" s="124">
        <v>75.887815962801156</v>
      </c>
      <c r="B227" s="122">
        <v>4924.1123965174447</v>
      </c>
      <c r="C227" s="122">
        <v>7419.0361060022224</v>
      </c>
      <c r="D227" s="122">
        <v>12540.013027939054</v>
      </c>
      <c r="E227" s="122">
        <v>10668.122944494615</v>
      </c>
      <c r="F227" s="122">
        <v>23454.252675103609</v>
      </c>
      <c r="G227" s="122">
        <v>19539.135964265843</v>
      </c>
      <c r="H227" s="122">
        <v>15262.850352803307</v>
      </c>
      <c r="I227" s="122">
        <v>15796.213533498729</v>
      </c>
      <c r="J227" s="122">
        <v>21618.338699187065</v>
      </c>
      <c r="K227" s="122">
        <v>16256.652118263646</v>
      </c>
      <c r="L227" s="122">
        <v>11257.207359592829</v>
      </c>
    </row>
    <row r="228" spans="1:12">
      <c r="A228" s="124">
        <v>190.10201751292573</v>
      </c>
      <c r="B228" s="122">
        <v>4924.1123965174447</v>
      </c>
      <c r="C228" s="122">
        <v>9745.8502900132662</v>
      </c>
      <c r="D228" s="122">
        <v>15973.590938091158</v>
      </c>
      <c r="E228" s="122">
        <v>29503.852288744463</v>
      </c>
      <c r="F228" s="122">
        <v>31877.257508971263</v>
      </c>
      <c r="G228" s="122">
        <v>41232.673246995531</v>
      </c>
      <c r="H228" s="122">
        <v>43607.825803543317</v>
      </c>
      <c r="I228" s="122">
        <v>34579.563159443707</v>
      </c>
      <c r="J228" s="122">
        <v>37704.720991306262</v>
      </c>
      <c r="K228" s="122">
        <v>44221.620452645097</v>
      </c>
      <c r="L228" s="122">
        <v>34363.436951132629</v>
      </c>
    </row>
    <row r="229" spans="1:12">
      <c r="A229" s="124">
        <v>232.9411287137018</v>
      </c>
      <c r="B229" s="122">
        <v>4924.1123965174447</v>
      </c>
      <c r="C229" s="122">
        <v>11077.257045355633</v>
      </c>
      <c r="D229" s="122">
        <v>9587.4028132853309</v>
      </c>
      <c r="E229" s="122">
        <v>15296.223798295927</v>
      </c>
      <c r="F229" s="122">
        <v>15665.49389805803</v>
      </c>
      <c r="G229" s="122">
        <v>21714.372808094522</v>
      </c>
      <c r="H229" s="122">
        <v>26487.189203885624</v>
      </c>
      <c r="I229" s="122">
        <v>29641.553970361398</v>
      </c>
      <c r="J229" s="122">
        <v>33461.059506704878</v>
      </c>
      <c r="K229" s="122">
        <v>45990.134466220625</v>
      </c>
      <c r="L229" s="122">
        <v>62510.769304741189</v>
      </c>
    </row>
    <row r="230" spans="1:12">
      <c r="A230" s="124">
        <v>101.40135134615633</v>
      </c>
      <c r="B230" s="122">
        <v>4924.1123965174447</v>
      </c>
      <c r="C230" s="122">
        <v>3694.1682817251021</v>
      </c>
      <c r="D230" s="122">
        <v>5047.5921403360335</v>
      </c>
      <c r="E230" s="122">
        <v>5724.3278291596489</v>
      </c>
      <c r="F230" s="122">
        <v>6015.5316507664029</v>
      </c>
      <c r="G230" s="122">
        <v>6086.8015182358595</v>
      </c>
      <c r="H230" s="122">
        <v>5576.4929960465615</v>
      </c>
      <c r="I230" s="122">
        <v>8249.7468175425493</v>
      </c>
      <c r="J230" s="122">
        <v>10624.522119252353</v>
      </c>
      <c r="K230" s="122">
        <v>22741.89382534476</v>
      </c>
      <c r="L230" s="122">
        <v>31483.587041334475</v>
      </c>
    </row>
    <row r="231" spans="1:12">
      <c r="A231" s="124">
        <v>101.69333499724253</v>
      </c>
      <c r="B231" s="122">
        <v>4924.1123965174447</v>
      </c>
      <c r="C231" s="122">
        <v>5120.5569042604875</v>
      </c>
      <c r="D231" s="122">
        <v>4340.7006054195317</v>
      </c>
      <c r="E231" s="122">
        <v>8063.850656563287</v>
      </c>
      <c r="F231" s="122">
        <v>10783.180647516125</v>
      </c>
      <c r="G231" s="122">
        <v>9227.9227457856905</v>
      </c>
      <c r="H231" s="122">
        <v>11300.615431140719</v>
      </c>
      <c r="I231" s="122">
        <v>15106.029495393828</v>
      </c>
      <c r="J231" s="122">
        <v>11542.37460971069</v>
      </c>
      <c r="K231" s="122">
        <v>16649.054576703609</v>
      </c>
      <c r="L231" s="122">
        <v>28699.525156886724</v>
      </c>
    </row>
    <row r="232" spans="1:12">
      <c r="A232" s="124">
        <v>23.884819699913056</v>
      </c>
      <c r="B232" s="122">
        <v>4924.1123965174447</v>
      </c>
      <c r="C232" s="122">
        <v>5165.8004717845979</v>
      </c>
      <c r="D232" s="122">
        <v>4067.8691489195098</v>
      </c>
      <c r="E232" s="122">
        <v>4875.3583845539033</v>
      </c>
      <c r="F232" s="122">
        <v>5806.3103191517603</v>
      </c>
      <c r="G232" s="122">
        <v>1597.8794945185873</v>
      </c>
      <c r="H232" s="122">
        <v>2102.7177949575189</v>
      </c>
      <c r="I232" s="122">
        <v>4692.7815465043786</v>
      </c>
      <c r="J232" s="122">
        <v>3909.9518556159092</v>
      </c>
      <c r="K232" s="122">
        <v>3227.7110874407608</v>
      </c>
      <c r="L232" s="122">
        <v>6765.457449867059</v>
      </c>
    </row>
    <row r="233" spans="1:12">
      <c r="A233" s="124">
        <v>120.90815414567231</v>
      </c>
      <c r="B233" s="122">
        <v>4924.1123965174447</v>
      </c>
      <c r="C233" s="122">
        <v>6191.9852827717514</v>
      </c>
      <c r="D233" s="122">
        <v>9566.6072952826726</v>
      </c>
      <c r="E233" s="122">
        <v>11085.085170146966</v>
      </c>
      <c r="F233" s="122">
        <v>11293.16076638188</v>
      </c>
      <c r="G233" s="122">
        <v>8270.8413797339399</v>
      </c>
      <c r="H233" s="122">
        <v>17397.557975609048</v>
      </c>
      <c r="I233" s="122">
        <v>16576.070846098683</v>
      </c>
      <c r="J233" s="122">
        <v>23862.677490750113</v>
      </c>
      <c r="K233" s="122">
        <v>27199.996555330319</v>
      </c>
      <c r="L233" s="122">
        <v>30767.442910357524</v>
      </c>
    </row>
    <row r="234" spans="1:12">
      <c r="A234" s="124">
        <v>357.94820831486192</v>
      </c>
      <c r="B234" s="122">
        <v>4924.1123965174447</v>
      </c>
      <c r="C234" s="122">
        <v>4806.2771307754265</v>
      </c>
      <c r="D234" s="122">
        <v>9563.6038645703302</v>
      </c>
      <c r="E234" s="122">
        <v>16993.281781751641</v>
      </c>
      <c r="F234" s="122">
        <v>22523.811219005966</v>
      </c>
      <c r="G234" s="122">
        <v>32937.584716465528</v>
      </c>
      <c r="H234" s="122">
        <v>41582.036936423996</v>
      </c>
      <c r="I234" s="122">
        <v>59700.733789773309</v>
      </c>
      <c r="J234" s="122">
        <v>58974.692336913853</v>
      </c>
      <c r="K234" s="122">
        <v>85141.453999394798</v>
      </c>
      <c r="L234" s="122">
        <v>95238.742496116261</v>
      </c>
    </row>
    <row r="235" spans="1:12">
      <c r="A235" s="124">
        <v>64.930060898895235</v>
      </c>
      <c r="B235" s="122">
        <v>4924.1123965174447</v>
      </c>
      <c r="C235" s="122">
        <v>1778.6678039909175</v>
      </c>
      <c r="D235" s="122">
        <v>4207.5983147166153</v>
      </c>
      <c r="E235" s="122">
        <v>4454.0717578174681</v>
      </c>
      <c r="F235" s="122">
        <v>7461.100712389185</v>
      </c>
      <c r="G235" s="122">
        <v>6194.6333679999952</v>
      </c>
      <c r="H235" s="122">
        <v>8586.8526163832885</v>
      </c>
      <c r="I235" s="122">
        <v>7632.661976088204</v>
      </c>
      <c r="J235" s="122">
        <v>14166.640440368155</v>
      </c>
      <c r="K235" s="122">
        <v>16198.894046135993</v>
      </c>
      <c r="L235" s="122">
        <v>18320.242131708255</v>
      </c>
    </row>
    <row r="236" spans="1:12">
      <c r="A236" s="124">
        <v>41.400073333904402</v>
      </c>
      <c r="B236" s="122">
        <v>4924.1123965174447</v>
      </c>
      <c r="C236" s="122">
        <v>7804.3498470199647</v>
      </c>
      <c r="D236" s="122">
        <v>4735.2091853832353</v>
      </c>
      <c r="E236" s="122">
        <v>5301.7902287828329</v>
      </c>
      <c r="F236" s="122">
        <v>4748.100716882087</v>
      </c>
      <c r="G236" s="122">
        <v>6781.0565878769448</v>
      </c>
      <c r="H236" s="122">
        <v>1826.7506587517109</v>
      </c>
      <c r="I236" s="122">
        <v>2958.8268655181737</v>
      </c>
      <c r="J236" s="122">
        <v>3670.591260036962</v>
      </c>
      <c r="K236" s="122">
        <v>8316.6910183831205</v>
      </c>
      <c r="L236" s="122">
        <v>11726.491416623538</v>
      </c>
    </row>
    <row r="237" spans="1:12">
      <c r="A237" s="124">
        <v>125.28128916767122</v>
      </c>
      <c r="B237" s="122">
        <v>4924.1123965174447</v>
      </c>
      <c r="C237" s="122">
        <v>9114.4901645989903</v>
      </c>
      <c r="D237" s="122">
        <v>19740.258856457607</v>
      </c>
      <c r="E237" s="122">
        <v>14214.201158492462</v>
      </c>
      <c r="F237" s="122">
        <v>16174.368085865284</v>
      </c>
      <c r="G237" s="122">
        <v>20182.467987423763</v>
      </c>
      <c r="H237" s="122">
        <v>28617.542948695518</v>
      </c>
      <c r="I237" s="122">
        <v>31433.597613171434</v>
      </c>
      <c r="J237" s="122">
        <v>37293.796640680514</v>
      </c>
      <c r="K237" s="122">
        <v>25826.571324489058</v>
      </c>
      <c r="L237" s="122">
        <v>22079.800866826248</v>
      </c>
    </row>
    <row r="238" spans="1:12">
      <c r="A238" s="124">
        <v>-17.090208661547205</v>
      </c>
      <c r="B238" s="122">
        <v>4924.1123965174447</v>
      </c>
      <c r="C238" s="122">
        <v>3586.8603221729427</v>
      </c>
      <c r="D238" s="122">
        <v>4433.9986053203702</v>
      </c>
      <c r="E238" s="122">
        <v>2351.1871655656123</v>
      </c>
      <c r="F238" s="122">
        <v>-158.70534338809921</v>
      </c>
      <c r="G238" s="122">
        <v>-1171.0366134856949</v>
      </c>
      <c r="H238" s="122">
        <v>-3063.4651427912568</v>
      </c>
      <c r="I238" s="122">
        <v>-2805.5925151866331</v>
      </c>
      <c r="J238" s="122">
        <v>-2930.1561639276147</v>
      </c>
      <c r="K238" s="122">
        <v>-3551.4592832380022</v>
      </c>
      <c r="L238" s="122">
        <v>-3467.6079489007184</v>
      </c>
    </row>
    <row r="239" spans="1:12">
      <c r="A239" s="124">
        <v>14.9226531352476</v>
      </c>
      <c r="B239" s="122">
        <v>4924.1123965174447</v>
      </c>
      <c r="C239" s="122">
        <v>3462.6441345109251</v>
      </c>
      <c r="D239" s="122">
        <v>1530.0193424919535</v>
      </c>
      <c r="E239" s="122">
        <v>208.10221059727428</v>
      </c>
      <c r="F239" s="122">
        <v>1153.3145148307449</v>
      </c>
      <c r="G239" s="122">
        <v>1004.0043569707996</v>
      </c>
      <c r="H239" s="122">
        <v>49.598783579491283</v>
      </c>
      <c r="I239" s="122">
        <v>1411.2471405649821</v>
      </c>
      <c r="J239" s="122">
        <v>2831.9339134287939</v>
      </c>
      <c r="K239" s="122">
        <v>3406.4806838511404</v>
      </c>
      <c r="L239" s="122">
        <v>6704.3775875221454</v>
      </c>
    </row>
    <row r="240" spans="1:12">
      <c r="A240" s="124">
        <v>23.482059968231233</v>
      </c>
      <c r="B240" s="122">
        <v>4924.1123965174447</v>
      </c>
      <c r="C240" s="122">
        <v>5397.3272991704071</v>
      </c>
      <c r="D240" s="122">
        <v>3904.2271437011223</v>
      </c>
      <c r="E240" s="122">
        <v>6730.1789251203318</v>
      </c>
      <c r="F240" s="122">
        <v>7698.1908173056254</v>
      </c>
      <c r="G240" s="122">
        <v>10864.834424821134</v>
      </c>
      <c r="H240" s="122">
        <v>5490.2652354576694</v>
      </c>
      <c r="I240" s="122">
        <v>5530.5009225870126</v>
      </c>
      <c r="J240" s="122">
        <v>6532.450178574898</v>
      </c>
      <c r="K240" s="122">
        <v>2935.238648749837</v>
      </c>
      <c r="L240" s="122">
        <v>3795.4159091293441</v>
      </c>
    </row>
    <row r="241" spans="1:12">
      <c r="A241" s="124">
        <v>19.16988587403231</v>
      </c>
      <c r="B241" s="122">
        <v>4924.1123965174447</v>
      </c>
      <c r="C241" s="122">
        <v>7253.8997226639167</v>
      </c>
      <c r="D241" s="122">
        <v>14267.636907869608</v>
      </c>
      <c r="E241" s="122">
        <v>8188.3600285971279</v>
      </c>
      <c r="F241" s="122">
        <v>3741.3953843867821</v>
      </c>
      <c r="G241" s="122">
        <v>2743.5085490581205</v>
      </c>
      <c r="H241" s="122">
        <v>3034.702633010791</v>
      </c>
      <c r="I241" s="122">
        <v>432.99003549043573</v>
      </c>
      <c r="J241" s="122">
        <v>852.15298212331891</v>
      </c>
      <c r="K241" s="122">
        <v>483.42734039769493</v>
      </c>
      <c r="L241" s="122">
        <v>3145.291907582312</v>
      </c>
    </row>
    <row r="242" spans="1:12">
      <c r="A242" s="124">
        <v>168.74321691327856</v>
      </c>
      <c r="B242" s="122">
        <v>4924.1123965174447</v>
      </c>
      <c r="C242" s="122">
        <v>5204.5037076236677</v>
      </c>
      <c r="D242" s="122">
        <v>3368.1584376171104</v>
      </c>
      <c r="E242" s="122">
        <v>8408.2101255691814</v>
      </c>
      <c r="F242" s="122">
        <v>8356.5397988039858</v>
      </c>
      <c r="G242" s="122">
        <v>19461.900564961274</v>
      </c>
      <c r="H242" s="122">
        <v>20041.029047980825</v>
      </c>
      <c r="I242" s="122">
        <v>19916.890521934849</v>
      </c>
      <c r="J242" s="122">
        <v>32827.765791855622</v>
      </c>
      <c r="K242" s="122">
        <v>44249.774212689466</v>
      </c>
      <c r="L242" s="122">
        <v>45955.152888754958</v>
      </c>
    </row>
    <row r="243" spans="1:12">
      <c r="A243" s="124">
        <v>130.79359493658509</v>
      </c>
      <c r="B243" s="122">
        <v>4924.1123965174447</v>
      </c>
      <c r="C243" s="122">
        <v>5542.275897221627</v>
      </c>
      <c r="D243" s="122">
        <v>4125.5778006821129</v>
      </c>
      <c r="E243" s="122">
        <v>2531.6286150130181</v>
      </c>
      <c r="F243" s="122">
        <v>6091.6503347382277</v>
      </c>
      <c r="G243" s="122">
        <v>9306.625658819914</v>
      </c>
      <c r="H243" s="122">
        <v>13963.377113148934</v>
      </c>
      <c r="I243" s="122">
        <v>15724.49775706117</v>
      </c>
      <c r="J243" s="122">
        <v>14421.558562250866</v>
      </c>
      <c r="K243" s="122">
        <v>19804.180892930297</v>
      </c>
      <c r="L243" s="122">
        <v>40207.141854761881</v>
      </c>
    </row>
    <row r="244" spans="1:12">
      <c r="A244" s="124">
        <v>147.3586555164724</v>
      </c>
      <c r="B244" s="122">
        <v>4924.1123965174447</v>
      </c>
      <c r="C244" s="122">
        <v>9057.1646056046229</v>
      </c>
      <c r="D244" s="122">
        <v>7551.2678558460466</v>
      </c>
      <c r="E244" s="122">
        <v>8371.7979406676604</v>
      </c>
      <c r="F244" s="122">
        <v>11962.268834318886</v>
      </c>
      <c r="G244" s="122">
        <v>11480.351838609708</v>
      </c>
      <c r="H244" s="122">
        <v>13923.059415610442</v>
      </c>
      <c r="I244" s="122">
        <v>21884.066622487324</v>
      </c>
      <c r="J244" s="122">
        <v>29710.905321051861</v>
      </c>
      <c r="K244" s="122">
        <v>32383.725668674379</v>
      </c>
      <c r="L244" s="122">
        <v>39009.050075130108</v>
      </c>
    </row>
    <row r="245" spans="1:12">
      <c r="A245" s="124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</row>
  </sheetData>
  <pageMargins left="0.7" right="0.7" top="0.75" bottom="0.75" header="0.3" footer="0.3"/>
  <pageSetup paperSize="9" scale="57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Income Statement</vt:lpstr>
      <vt:lpstr>Balance Sheet</vt:lpstr>
      <vt:lpstr>Cash Flow</vt:lpstr>
      <vt:lpstr>Revenue Model</vt:lpstr>
      <vt:lpstr>Cost Model</vt:lpstr>
      <vt:lpstr>DCF</vt:lpstr>
      <vt:lpstr>SIMULATION RESULTS</vt:lpstr>
      <vt:lpstr>'Balance Sheet'!Print_Area</vt:lpstr>
      <vt:lpstr>'Cash Flow'!Print_Area</vt:lpstr>
      <vt:lpstr>DCF!Print_Area</vt:lpstr>
      <vt:lpstr>'Income Statement'!Print_Area</vt:lpstr>
      <vt:lpstr>'SIMULATION RESULTS'!Print_Area</vt:lpstr>
    </vt:vector>
  </TitlesOfParts>
  <Company>DIAL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limev567</dc:creator>
  <cp:lastModifiedBy>Veselinovich Kondrup</cp:lastModifiedBy>
  <cp:lastPrinted>2026-10-05T14:19:44Z</cp:lastPrinted>
  <dcterms:created xsi:type="dcterms:W3CDTF">2026-06-16T10:00:00Z</dcterms:created>
  <dcterms:modified xsi:type="dcterms:W3CDTF">2026-10-05T17:30:36Z</dcterms:modified>
</cp:coreProperties>
</file>